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1585" documentId="8_{194206F6-F826-48E6-9C50-0079A5A6D3C1}" xr6:coauthVersionLast="47" xr6:coauthVersionMax="47" xr10:uidLastSave="{AAF92398-9A68-48DB-8CBA-25F78604AFD0}"/>
  <bookViews>
    <workbookView xWindow="-28910" yWindow="-110" windowWidth="29020" windowHeight="15700" firstSheet="1" activeTab="8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emana 9" sheetId="10" r:id="rId9"/>
    <sheet name="Promedios totales candidato" sheetId="8" r:id="rId10"/>
  </sheets>
  <definedNames>
    <definedName name="_xlnm._FilterDatabase" localSheetId="9" hidden="1">'Promedios totales candidato'!$B$1:$I$373</definedName>
    <definedName name="_xlnm._FilterDatabase" localSheetId="0" hidden="1">'Semana 1'!$A$1:$G$1</definedName>
    <definedName name="_xlnm._FilterDatabase" localSheetId="7" hidden="1">'Semana 8'!$A$1:$I$42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10" l="1"/>
  <c r="I41" i="10"/>
  <c r="I43" i="10"/>
  <c r="I42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I2" i="10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<sst xmlns="http://schemas.openxmlformats.org/spreadsheetml/2006/main" count="3537" uniqueCount="316">
  <si>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</si>
  <si>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</si>
  <si>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</si>
  <si>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</si>
  <si>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</si>
  <si>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</si>
  <si>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</si>
  <si>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</si>
  <si>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</si>
  <si>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</si>
  <si>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</si>
  <si>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</si>
  <si>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</si>
  <si>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</si>
  <si>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</si>
  <si>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</si>
  <si>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</si>
  <si>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</si>
  <si>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</si>
  <si>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</si>
  <si>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</si>
  <si>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</si>
  <si>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</si>
  <si>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</si>
  <si>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</si>
  <si>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</si>
  <si>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</si>
  <si>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</si>
  <si>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</si>
  <si>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</si>
  <si>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</si>
  <si>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</si>
  <si>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</si>
  <si>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</si>
  <si>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</si>
  <si>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</si>
  <si>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</si>
  <si>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</si>
  <si>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</si>
  <si>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</si>
  <si>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</si>
  <si>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</si>
  <si>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</si>
  <si>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</si>
  <si>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</si>
  <si>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</si>
  <si>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</si>
  <si>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</si>
  <si>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</si>
  <si>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</si>
  <si>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</si>
  <si>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</si>
  <si>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</si>
  <si>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</si>
  <si>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</si>
  <si>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</si>
  <si>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</si>
  <si>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</si>
  <si>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</si>
  <si>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</si>
  <si>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</si>
  <si>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</si>
  <si>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</si>
  <si>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</si>
  <si>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</si>
  <si>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</si>
  <si>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</si>
  <si>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</si>
  <si>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</si>
  <si>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</si>
  <si>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</si>
  <si>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</si>
  <si>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</si>
  <si>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</si>
  <si>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</si>
  <si>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</si>
  <si>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</si>
  <si>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</si>
  <si>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</si>
  <si>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</si>
  <si>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</si>
  <si>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</si>
  <si>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</si>
  <si>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</si>
  <si>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</si>
  <si>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</si>
  <si>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</si>
  <si>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</si>
  <si>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</si>
  <si>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</si>
  <si>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</si>
  <si>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</si>
  <si>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</si>
  <si>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</si>
  <si>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</si>
  <si>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</si>
  <si>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</si>
  <si>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</si>
  <si>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</si>
  <si>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</si>
  <si>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</si>
  <si>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</si>
  <si>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</si>
  <si>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</si>
  <si>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</si>
  <si>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</si>
  <si>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</si>
  <si>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</si>
  <si>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</si>
  <si>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</si>
  <si>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</si>
  <si>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</si>
  <si>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</si>
  <si>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</si>
  <si>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</si>
  <si>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</si>
  <si>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</si>
  <si>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</si>
  <si>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</si>
  <si>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</si>
  <si>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</si>
  <si>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</si>
  <si>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</si>
  <si>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</si>
  <si>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</si>
  <si>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</si>
  <si>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</si>
  <si>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</si>
  <si>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</si>
  <si>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</si>
  <si>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</si>
  <si>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</si>
  <si>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</si>
  <si>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</si>
  <si>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</si>
  <si>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</si>
  <si>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</si>
  <si>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</si>
  <si>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</si>
  <si>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</si>
  <si>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</si>
  <si>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</si>
  <si>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</si>
  <si>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</si>
  <si>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</si>
  <si>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</si>
  <si>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</si>
  <si>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</si>
  <si>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</si>
  <si>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</si>
  <si>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</si>
  <si>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</si>
  <si>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</si>
  <si>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</si>
  <si>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</si>
  <si>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</si>
  <si>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</si>
  <si>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</si>
  <si>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</si>
  <si>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</si>
  <si>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</si>
  <si>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</si>
  <si>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</si>
  <si>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</si>
  <si>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</si>
  <si>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</si>
  <si>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</si>
  <si>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</si>
  <si>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</si>
  <si>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</si>
  <si>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</si>
  <si>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</si>
  <si>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</si>
  <si>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</si>
  <si>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</si>
  <si>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</si>
  <si>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</si>
  <si>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</si>
  <si>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</si>
  <si>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</si>
  <si>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</si>
  <si>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</si>
  <si>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</si>
  <si>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</si>
  <si>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</si>
  <si>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</si>
  <si>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</si>
  <si>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</si>
  <si>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</si>
  <si>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</si>
  <si>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</si>
  <si>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</si>
  <si>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</si>
  <si>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</si>
  <si>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</si>
  <si>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</si>
  <si>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</si>
  <si>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</si>
  <si>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</si>
  <si>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</si>
  <si>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</si>
  <si>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</si>
  <si>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</si>
  <si>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</si>
  <si>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</si>
  <si>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</si>
  <si>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</si>
  <si>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</si>
  <si>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</si>
  <si>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</si>
  <si>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</si>
  <si>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</si>
  <si>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</si>
  <si>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</si>
  <si>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</si>
  <si>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</si>
  <si>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</si>
  <si>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</si>
  <si>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</si>
  <si>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</si>
  <si>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</si>
  <si>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</si>
  <si>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</si>
  <si>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</si>
  <si>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</si>
  <si>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</si>
  <si>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</si>
  <si>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</si>
  <si>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</si>
  <si>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</si>
  <si>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</si>
  <si>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</si>
  <si>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</si>
  <si>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</si>
  <si>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</si>
  <si>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</si>
  <si>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2Oct-8Oct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</si>
  <si>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</si>
  <si>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</si>
  <si>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</si>
  <si>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</si>
  <si>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</si>
  <si>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</si>
  <si>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</si>
  <si>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</si>
  <si>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 -  8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</si>
  <si>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</si>
  <si>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</si>
  <si>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</si>
  <si>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</si>
  <si>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</si>
  <si>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</si>
  <si>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</si>
  <si>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</si>
  <si>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</si>
  <si>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</si>
  <si>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</si>
  <si>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</si>
  <si>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</si>
  <si>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</si>
  <si>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</si>
  <si>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</si>
  <si>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</si>
  <si>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</si>
  <si>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</si>
  <si>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</si>
  <si>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</si>
  <si>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</si>
  <si>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</si>
  <si>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</si>
  <si>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</si>
  <si>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</si>
  <si>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</si>
  <si>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</si>
  <si>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</si>
  <si>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</si>
  <si>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</si>
  <si>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</si>
  <si>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</si>
  <si>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</si>
  <si>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</si>
  <si>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</si>
  <si>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</si>
  <si>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</si>
  <si>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</si>
  <si>
    <t>Nov05-Nov12</t>
  </si>
  <si>
    <t>Publicación en contra de Trump</t>
  </si>
  <si>
    <t>Publicación en el eje cafetero</t>
  </si>
  <si>
    <t>Publicación de campaña de carácter conciliador</t>
  </si>
  <si>
    <t>Publicación de campaña sobre seguridad</t>
  </si>
  <si>
    <t>Publicación de campaña con Juan Manuel Galán</t>
  </si>
  <si>
    <t>Publicación en contra de Gaviria</t>
  </si>
  <si>
    <t>Publicación de campaña en torno a la seguridad</t>
  </si>
  <si>
    <t>Publicación de campaña respecto a las luchas sociales</t>
  </si>
  <si>
    <t>Pregunta en contra de acusación por caso del banco del estado</t>
  </si>
  <si>
    <t>Publicación en contra de Fico Gutierrez</t>
  </si>
  <si>
    <t>Publicación de campaña a favor del Pacto Histórico</t>
  </si>
  <si>
    <t>Publicación sobre el nuevo albúm de Rosalia</t>
  </si>
  <si>
    <t>Publicación sobre su propuesta de seguridad</t>
  </si>
  <si>
    <t>Publicación sobre su familia</t>
  </si>
  <si>
    <t>Publicación de campaña en Armenia</t>
  </si>
  <si>
    <t>Publicación donde intenta fortalecer al centro</t>
  </si>
  <si>
    <t>Publicación a favor de las fuerzas armadas</t>
  </si>
  <si>
    <t>Publicación de campaña sobre su hijo</t>
  </si>
  <si>
    <t>Publicación en contra de Abelardo de la Espriella</t>
  </si>
  <si>
    <t>Publicación de campaña invitando a votar</t>
  </si>
  <si>
    <t>Publicación en contra de Petro por lo del Tren de Cercanías</t>
  </si>
  <si>
    <t>Publicación en contra del gobierno por el impuesto a billeteras digitales</t>
  </si>
  <si>
    <t>Retweet de Hilary Clinton sobre la elección del alcalde de NY</t>
  </si>
  <si>
    <t>Publicación en contra de Petro por lo del Palacio de Justicia</t>
  </si>
  <si>
    <t>Publicación sobre la muerte de Miguel Uribe y en contra de Maduro</t>
  </si>
  <si>
    <t>Publicación en contra de Petro por el caso de Juliana Guerrero</t>
  </si>
  <si>
    <t>Publicación en contra de Miguel Polo Polo y Abelardo de la Espriella</t>
  </si>
  <si>
    <t>Publicación invitando a una unión con la UE y con España</t>
  </si>
  <si>
    <t xml:space="preserve">Semana 9 </t>
  </si>
  <si>
    <t>Semana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</si>
</sst>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Border="1"/>
    <xf numFmtId="0" fontId="1" fillId="12" borderId="0" xfId="0" applyFont="1" applyFill="1"/>
    <xf numFmtId="0" fontId="1" fillId="0" borderId="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zoomScaleNormal="100" workbookViewId="0">
      <selection activeCell="G2" sqref="G2:G4"/>
    </sheetView>
  </sheetViews>
  <sheetFormatPr defaultRowHeight="14.5" x14ac:dyDescent="0.35"/>
  <cols>
    <col min="1" max="1" width="11.453125" customWidth="1"/>
    <col min="2" max="2" width="18.453125" customWidth="1"/>
    <col min="3" max="3" width="11.54296875" customWidth="1"/>
    <col min="4" max="4" width="22.1796875" customWidth="1"/>
    <col min="5" max="5" width="23.54296875" customWidth="1"/>
    <col min="6" max="6" width="24" customWidth="1"/>
    <col min="7" max="7" width="34.8164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3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3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3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3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3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3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3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3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3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3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3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3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3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3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3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3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3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3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3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3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3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3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3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3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3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3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3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3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3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3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3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3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3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3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3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autoFilter ref="A1:G1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topLeftCell="A23" workbookViewId="0">
      <selection sqref="A1:G40"/>
    </sheetView>
  </sheetViews>
  <sheetFormatPr defaultRowHeight="14.5" x14ac:dyDescent="0.35"/>
  <cols>
    <col min="2" max="2" width="19.54296875" customWidth="1"/>
    <col min="3" max="3" width="9.453125" customWidth="1"/>
    <col min="4" max="4" width="21.26953125" customWidth="1"/>
    <col min="5" max="5" width="22.54296875" customWidth="1"/>
    <col min="6" max="6" width="13.54296875" customWidth="1"/>
    <col min="7" max="7" width="33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3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3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3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3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3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3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3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3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3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3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3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3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3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3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3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3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3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3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3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3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3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3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35">
      <c r="A24" t="s">
        <v>22</v>
      </c>
      <c r="B24" t="s">
        <v>14</v>
      </c>
      <c r="C24" t="s">
        <v>25</v>
      </c>
    </row>
    <row r="25" spans="1:11" x14ac:dyDescent="0.35">
      <c r="A25" t="s">
        <v>22</v>
      </c>
      <c r="B25" t="s">
        <v>14</v>
      </c>
      <c r="C25" t="s">
        <v>26</v>
      </c>
    </row>
    <row r="26" spans="1:11" x14ac:dyDescent="0.3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3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3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3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3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3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3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3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3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3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3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3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3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3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3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53" sqref="B53"/>
    </sheetView>
  </sheetViews>
  <sheetFormatPr defaultRowHeight="14.5" x14ac:dyDescent="0.35"/>
  <cols>
    <col min="2" max="2" width="19.1796875" customWidth="1"/>
    <col min="4" max="4" width="22.453125" customWidth="1"/>
    <col min="5" max="5" width="23.54296875" customWidth="1"/>
    <col min="7" max="7" width="33.7265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3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3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3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3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3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3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3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3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3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3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3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3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3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3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3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3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3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3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3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3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3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3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3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3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3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3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3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3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3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3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3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3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3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3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3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topLeftCell="D1" workbookViewId="0">
      <selection activeCell="D6" sqref="D6"/>
    </sheetView>
  </sheetViews>
  <sheetFormatPr defaultRowHeight="14.5" x14ac:dyDescent="0.35"/>
  <cols>
    <col min="2" max="2" width="19.54296875" customWidth="1"/>
    <col min="3" max="3" width="10.453125" customWidth="1"/>
    <col min="4" max="4" width="21.54296875" customWidth="1"/>
    <col min="5" max="5" width="22.81640625" customWidth="1"/>
    <col min="7" max="7" width="35.17968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3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3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3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3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3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3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3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3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3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3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3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3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3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3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3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3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3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3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3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3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3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3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3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3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3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3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35">
      <c r="A32" t="s">
        <v>23</v>
      </c>
      <c r="B32" t="s">
        <v>17</v>
      </c>
      <c r="C32" t="s">
        <v>24</v>
      </c>
    </row>
    <row r="33" spans="1:7" x14ac:dyDescent="0.3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3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3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3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3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3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3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3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activeCell="B3" sqref="B3"/>
    </sheetView>
  </sheetViews>
  <sheetFormatPr defaultRowHeight="14.5" x14ac:dyDescent="0.35"/>
  <cols>
    <col min="2" max="2" width="20.1796875" customWidth="1"/>
    <col min="3" max="3" width="9.54296875" customWidth="1"/>
    <col min="4" max="4" width="21.81640625" customWidth="1"/>
    <col min="5" max="5" width="22.453125" customWidth="1"/>
    <col min="7" max="7" width="33.542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3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3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3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3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3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3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3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3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3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3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3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3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3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3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3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3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3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3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3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3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3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3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3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3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3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3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3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3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3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3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3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3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3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3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3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topLeftCell="A29" workbookViewId="0">
      <selection activeCell="D48" sqref="D48"/>
    </sheetView>
  </sheetViews>
  <sheetFormatPr defaultRowHeight="14.5" x14ac:dyDescent="0.35"/>
  <cols>
    <col min="2" max="2" width="19.1796875" customWidth="1"/>
    <col min="4" max="4" width="21.7265625" customWidth="1"/>
    <col min="5" max="5" width="23.1796875" customWidth="1"/>
    <col min="7" max="7" width="33.8164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3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3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3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3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3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3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3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3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3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3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3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3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3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3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3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3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3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3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3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3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3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3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3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3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3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3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35">
      <c r="A32" t="s">
        <v>23</v>
      </c>
      <c r="B32" t="s">
        <v>17</v>
      </c>
      <c r="C32" t="s">
        <v>24</v>
      </c>
    </row>
    <row r="33" spans="1:7" x14ac:dyDescent="0.35">
      <c r="A33" t="s">
        <v>23</v>
      </c>
      <c r="B33" t="s">
        <v>17</v>
      </c>
      <c r="C33" t="s">
        <v>25</v>
      </c>
    </row>
    <row r="34" spans="1:7" x14ac:dyDescent="0.35">
      <c r="A34" t="s">
        <v>23</v>
      </c>
      <c r="B34" t="s">
        <v>17</v>
      </c>
      <c r="C34" t="s">
        <v>26</v>
      </c>
    </row>
    <row r="35" spans="1:7" x14ac:dyDescent="0.3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3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3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3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3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3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3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3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3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activeCell="H1" sqref="H1"/>
    </sheetView>
  </sheetViews>
  <sheetFormatPr defaultRowHeight="14.5" x14ac:dyDescent="0.35"/>
  <cols>
    <col min="3" max="3" width="20.7265625" customWidth="1"/>
    <col min="4" max="4" width="12.7265625" customWidth="1"/>
    <col min="5" max="5" width="21.7265625" customWidth="1"/>
    <col min="6" max="6" width="22.81640625" customWidth="1"/>
    <col min="7" max="7" width="56.54296875" customWidth="1"/>
    <col min="8" max="8" width="33.81640625" customWidth="1"/>
  </cols>
  <sheetData>
    <row r="1" spans="1:8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 t="s">
        <v>258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35">
      <c r="A3" t="s">
        <v>258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35">
      <c r="A4" t="s">
        <v>258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35">
      <c r="A5" t="s">
        <v>258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35">
      <c r="A6" t="s">
        <v>258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35">
      <c r="A7" t="s">
        <v>258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35">
      <c r="A8" t="s">
        <v>258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35">
      <c r="A9" t="s">
        <v>258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35">
      <c r="A10" t="s">
        <v>258</v>
      </c>
      <c r="B10" t="s">
        <v>21</v>
      </c>
      <c r="C10" t="s">
        <v>9</v>
      </c>
      <c r="D10" t="s">
        <v>26</v>
      </c>
    </row>
    <row r="11" spans="1:8" x14ac:dyDescent="0.35">
      <c r="A11" t="s">
        <v>258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35">
      <c r="A12" t="s">
        <v>258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35">
      <c r="A13" t="s">
        <v>258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35">
      <c r="A14" t="s">
        <v>258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35">
      <c r="A15" t="s">
        <v>258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35">
      <c r="A16" t="s">
        <v>258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35">
      <c r="A17" t="s">
        <v>258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35">
      <c r="A18" t="s">
        <v>258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5" customHeight="1" x14ac:dyDescent="0.35">
      <c r="A19" t="s">
        <v>258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35">
      <c r="A20" t="s">
        <v>258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35">
      <c r="A21" t="s">
        <v>258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35">
      <c r="A22" t="s">
        <v>258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35">
      <c r="A23" t="s">
        <v>258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35">
      <c r="A24" t="s">
        <v>258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35">
      <c r="A25" t="s">
        <v>258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35">
      <c r="A26" t="s">
        <v>258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35">
      <c r="A27" t="s">
        <v>258</v>
      </c>
      <c r="B27" t="s">
        <v>22</v>
      </c>
      <c r="C27" t="s">
        <v>14</v>
      </c>
      <c r="D27" t="s">
        <v>25</v>
      </c>
    </row>
    <row r="28" spans="1:8" x14ac:dyDescent="0.35">
      <c r="A28" t="s">
        <v>258</v>
      </c>
      <c r="B28" t="s">
        <v>22</v>
      </c>
      <c r="C28" t="s">
        <v>14</v>
      </c>
      <c r="D28" t="s">
        <v>26</v>
      </c>
    </row>
    <row r="29" spans="1:8" x14ac:dyDescent="0.35">
      <c r="A29" t="s">
        <v>258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35">
      <c r="A30" t="s">
        <v>258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35">
      <c r="A31" t="s">
        <v>258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35">
      <c r="A32" t="s">
        <v>258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35">
      <c r="A33" t="s">
        <v>258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35">
      <c r="A34" t="s">
        <v>258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35">
      <c r="A35" t="s">
        <v>258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35">
      <c r="A36" t="s">
        <v>258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35">
      <c r="A37" t="s">
        <v>258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35">
      <c r="A38" t="s">
        <v>258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35">
      <c r="A39" t="s">
        <v>258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35">
      <c r="A40" t="s">
        <v>258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35">
      <c r="A41" t="s">
        <v>258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35">
      <c r="A42" t="s">
        <v>258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35">
      <c r="A43" t="s">
        <v>258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topLeftCell="B1" workbookViewId="0">
      <selection activeCell="J1" sqref="J1"/>
    </sheetView>
  </sheetViews>
  <sheetFormatPr defaultRowHeight="14.5" x14ac:dyDescent="0.35"/>
  <cols>
    <col min="1" max="1" width="15.7265625" customWidth="1"/>
    <col min="3" max="3" width="21.26953125" customWidth="1"/>
    <col min="4" max="4" width="12.1796875" customWidth="1"/>
    <col min="5" max="5" width="21.81640625" customWidth="1"/>
    <col min="6" max="6" width="22.54296875" customWidth="1"/>
    <col min="7" max="7" width="35.453125" customWidth="1"/>
    <col min="8" max="8" width="34.1796875" customWidth="1"/>
  </cols>
  <sheetData>
    <row r="1" spans="1:9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283</v>
      </c>
    </row>
    <row r="2" spans="1:9" x14ac:dyDescent="0.35">
      <c r="A2" t="s">
        <v>259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35">
      <c r="A3" t="s">
        <v>259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3" si="0">SUBTOTAL(9,E3,H3)</f>
        <v>921.75</v>
      </c>
    </row>
    <row r="4" spans="1:9" x14ac:dyDescent="0.35">
      <c r="A4" t="s">
        <v>259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274</v>
      </c>
      <c r="H4">
        <v>34.700000000000003</v>
      </c>
      <c r="I4">
        <f t="shared" si="0"/>
        <v>255.2</v>
      </c>
    </row>
    <row r="5" spans="1:9" x14ac:dyDescent="0.35">
      <c r="A5" t="s">
        <v>259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260</v>
      </c>
      <c r="H5">
        <v>135</v>
      </c>
      <c r="I5">
        <f t="shared" si="0"/>
        <v>1624.9</v>
      </c>
    </row>
    <row r="6" spans="1:9" x14ac:dyDescent="0.35">
      <c r="A6" s="1" t="s">
        <v>259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260</v>
      </c>
      <c r="H6" s="1">
        <v>39.4</v>
      </c>
      <c r="I6" s="1">
        <f t="shared" si="0"/>
        <v>2402.2000000000003</v>
      </c>
    </row>
    <row r="7" spans="1:9" s="1" customFormat="1" x14ac:dyDescent="0.35">
      <c r="A7" s="1" t="s">
        <v>259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275</v>
      </c>
      <c r="H7" s="1">
        <v>47.5</v>
      </c>
      <c r="I7" s="1">
        <f t="shared" si="0"/>
        <v>2470.3000000000002</v>
      </c>
    </row>
    <row r="8" spans="1:9" x14ac:dyDescent="0.35">
      <c r="A8" t="s">
        <v>259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261</v>
      </c>
      <c r="H8">
        <v>16.5</v>
      </c>
      <c r="I8">
        <f t="shared" si="0"/>
        <v>358.8</v>
      </c>
    </row>
    <row r="9" spans="1:9" x14ac:dyDescent="0.35">
      <c r="A9" t="s">
        <v>259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269</v>
      </c>
      <c r="H9">
        <v>2.4</v>
      </c>
      <c r="I9">
        <f t="shared" si="0"/>
        <v>90.2</v>
      </c>
    </row>
    <row r="10" spans="1:9" x14ac:dyDescent="0.35">
      <c r="A10" t="s">
        <v>259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35">
      <c r="A11" s="1" t="s">
        <v>259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262</v>
      </c>
      <c r="H11" s="1">
        <v>43.5</v>
      </c>
      <c r="I11" s="1">
        <f t="shared" si="0"/>
        <v>2385.6999999999998</v>
      </c>
    </row>
    <row r="12" spans="1:9" x14ac:dyDescent="0.35">
      <c r="A12" t="s">
        <v>259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270</v>
      </c>
      <c r="H12">
        <v>9.6</v>
      </c>
      <c r="I12">
        <f t="shared" si="0"/>
        <v>251.9</v>
      </c>
    </row>
    <row r="13" spans="1:9" x14ac:dyDescent="0.35">
      <c r="A13" t="s">
        <v>259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276</v>
      </c>
      <c r="H13">
        <v>84</v>
      </c>
      <c r="I13">
        <f t="shared" si="0"/>
        <v>304.8</v>
      </c>
    </row>
    <row r="14" spans="1:9" x14ac:dyDescent="0.35">
      <c r="A14" t="s">
        <v>259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263</v>
      </c>
      <c r="H14">
        <v>65.400000000000006</v>
      </c>
      <c r="I14">
        <f t="shared" si="0"/>
        <v>995.9</v>
      </c>
    </row>
    <row r="15" spans="1:9" x14ac:dyDescent="0.35">
      <c r="A15" t="s">
        <v>259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263</v>
      </c>
      <c r="H15">
        <v>41</v>
      </c>
      <c r="I15">
        <f t="shared" si="0"/>
        <v>270.2</v>
      </c>
    </row>
    <row r="16" spans="1:9" x14ac:dyDescent="0.35">
      <c r="A16" t="s">
        <v>259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263</v>
      </c>
      <c r="H16">
        <v>135.69999999999999</v>
      </c>
      <c r="I16">
        <f t="shared" si="0"/>
        <v>1153.9000000000001</v>
      </c>
    </row>
    <row r="17" spans="1:9" x14ac:dyDescent="0.35">
      <c r="A17" t="s">
        <v>259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264</v>
      </c>
      <c r="H17">
        <v>69</v>
      </c>
      <c r="I17">
        <f t="shared" si="0"/>
        <v>1106.3</v>
      </c>
    </row>
    <row r="18" spans="1:9" x14ac:dyDescent="0.35">
      <c r="A18" t="s">
        <v>259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271</v>
      </c>
      <c r="H18">
        <v>12.4</v>
      </c>
      <c r="I18">
        <f t="shared" si="0"/>
        <v>174.70000000000002</v>
      </c>
    </row>
    <row r="19" spans="1:9" x14ac:dyDescent="0.35">
      <c r="A19" t="s">
        <v>259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277</v>
      </c>
      <c r="H19">
        <v>258.5</v>
      </c>
      <c r="I19">
        <f t="shared" si="0"/>
        <v>507.7</v>
      </c>
    </row>
    <row r="20" spans="1:9" x14ac:dyDescent="0.35">
      <c r="A20" t="s">
        <v>259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265</v>
      </c>
      <c r="H20">
        <v>76.7</v>
      </c>
      <c r="I20">
        <f t="shared" si="0"/>
        <v>429.8</v>
      </c>
    </row>
    <row r="21" spans="1:9" x14ac:dyDescent="0.35">
      <c r="A21" t="s">
        <v>259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265</v>
      </c>
      <c r="H21">
        <v>65</v>
      </c>
      <c r="I21">
        <f t="shared" si="0"/>
        <v>637.20000000000005</v>
      </c>
    </row>
    <row r="22" spans="1:9" x14ac:dyDescent="0.35">
      <c r="A22" t="s">
        <v>259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278</v>
      </c>
      <c r="H22">
        <v>96.2</v>
      </c>
      <c r="I22">
        <f t="shared" si="0"/>
        <v>399.59999999999997</v>
      </c>
    </row>
    <row r="23" spans="1:9" x14ac:dyDescent="0.35">
      <c r="A23" t="s">
        <v>259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266</v>
      </c>
      <c r="H23">
        <v>75</v>
      </c>
      <c r="I23">
        <f t="shared" si="0"/>
        <v>1578.8</v>
      </c>
    </row>
    <row r="24" spans="1:9" x14ac:dyDescent="0.35">
      <c r="A24" t="s">
        <v>259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272</v>
      </c>
      <c r="H24">
        <v>81.3</v>
      </c>
      <c r="I24">
        <f t="shared" si="0"/>
        <v>1355.8</v>
      </c>
    </row>
    <row r="25" spans="1:9" x14ac:dyDescent="0.35">
      <c r="A25" t="s">
        <v>259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279</v>
      </c>
      <c r="H25">
        <v>145.80000000000001</v>
      </c>
      <c r="I25">
        <f t="shared" si="0"/>
        <v>2771</v>
      </c>
    </row>
    <row r="26" spans="1:9" x14ac:dyDescent="0.35">
      <c r="A26" t="s">
        <v>259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267</v>
      </c>
      <c r="H26">
        <v>303.5</v>
      </c>
      <c r="I26">
        <f t="shared" si="0"/>
        <v>6324.5</v>
      </c>
    </row>
    <row r="27" spans="1:9" x14ac:dyDescent="0.35">
      <c r="A27" t="s">
        <v>259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35">
      <c r="A28" t="s">
        <v>259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35">
      <c r="A29" t="s">
        <v>259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280</v>
      </c>
      <c r="H29">
        <v>245.3</v>
      </c>
      <c r="I29">
        <f t="shared" si="0"/>
        <v>3991.9</v>
      </c>
    </row>
    <row r="30" spans="1:9" x14ac:dyDescent="0.35">
      <c r="A30" t="s">
        <v>259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280</v>
      </c>
      <c r="H30">
        <v>46.3</v>
      </c>
      <c r="I30">
        <f t="shared" si="0"/>
        <v>268.89999999999998</v>
      </c>
    </row>
    <row r="31" spans="1:9" x14ac:dyDescent="0.35">
      <c r="A31" t="s">
        <v>259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280</v>
      </c>
      <c r="H31">
        <v>186</v>
      </c>
      <c r="I31">
        <f t="shared" si="0"/>
        <v>1288.5</v>
      </c>
    </row>
    <row r="32" spans="1:9" s="1" customFormat="1" x14ac:dyDescent="0.35">
      <c r="A32" s="1" t="s">
        <v>259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268</v>
      </c>
      <c r="H32" s="1">
        <v>1045.2</v>
      </c>
      <c r="I32" s="1">
        <f t="shared" si="0"/>
        <v>20541.8</v>
      </c>
    </row>
    <row r="33" spans="1:9" x14ac:dyDescent="0.35">
      <c r="A33" s="1" t="s">
        <v>259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273</v>
      </c>
      <c r="H33" s="1">
        <v>486.6</v>
      </c>
      <c r="I33" s="1">
        <f t="shared" si="0"/>
        <v>11759.6</v>
      </c>
    </row>
    <row r="34" spans="1:9" x14ac:dyDescent="0.35">
      <c r="A34" s="1" t="s">
        <v>259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281</v>
      </c>
      <c r="H34" s="1">
        <v>149.30000000000001</v>
      </c>
      <c r="I34" s="1">
        <f t="shared" si="0"/>
        <v>3517.8</v>
      </c>
    </row>
    <row r="35" spans="1:9" x14ac:dyDescent="0.35">
      <c r="A35" t="s">
        <v>259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265</v>
      </c>
      <c r="H35">
        <v>677.8</v>
      </c>
      <c r="I35">
        <f t="shared" si="0"/>
        <v>2833.6000000000004</v>
      </c>
    </row>
    <row r="36" spans="1:9" x14ac:dyDescent="0.35">
      <c r="A36" s="1" t="s">
        <v>259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265</v>
      </c>
      <c r="H36" s="1">
        <v>509.8</v>
      </c>
      <c r="I36" s="1">
        <f t="shared" si="0"/>
        <v>12477.4</v>
      </c>
    </row>
    <row r="37" spans="1:9" x14ac:dyDescent="0.35">
      <c r="A37" s="1" t="s">
        <v>259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265</v>
      </c>
      <c r="H37" s="1">
        <v>363.9</v>
      </c>
      <c r="I37" s="1">
        <f t="shared" si="0"/>
        <v>2873.9</v>
      </c>
    </row>
    <row r="38" spans="1:9" s="74" customFormat="1" x14ac:dyDescent="0.35">
      <c r="A38" s="74" t="s">
        <v>259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35">
      <c r="A39" t="s">
        <v>259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35">
      <c r="A40" t="s">
        <v>259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282</v>
      </c>
      <c r="H40">
        <v>273</v>
      </c>
      <c r="I40">
        <f t="shared" si="0"/>
        <v>2751.9</v>
      </c>
    </row>
    <row r="41" spans="1:9" x14ac:dyDescent="0.35">
      <c r="A41" t="s">
        <v>259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265</v>
      </c>
      <c r="H41">
        <v>25.4</v>
      </c>
      <c r="I41">
        <f t="shared" si="0"/>
        <v>428.29999999999995</v>
      </c>
    </row>
    <row r="42" spans="1:9" x14ac:dyDescent="0.35">
      <c r="A42" t="s">
        <v>259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265</v>
      </c>
      <c r="H42">
        <v>10</v>
      </c>
      <c r="I42">
        <f t="shared" si="0"/>
        <v>330.8</v>
      </c>
    </row>
    <row r="43" spans="1:9" x14ac:dyDescent="0.35">
      <c r="A43" t="s">
        <v>259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J43"/>
  <sheetViews>
    <sheetView tabSelected="1" workbookViewId="0">
      <selection activeCell="H24" sqref="H24"/>
    </sheetView>
  </sheetViews>
  <sheetFormatPr defaultRowHeight="14.5" x14ac:dyDescent="0.35"/>
  <cols>
    <col min="1" max="1" width="11.81640625" customWidth="1"/>
    <col min="3" max="3" width="13.1796875" customWidth="1"/>
    <col min="4" max="4" width="10.36328125" customWidth="1"/>
    <col min="5" max="5" width="21.6328125" customWidth="1"/>
    <col min="6" max="6" width="22.6328125" customWidth="1"/>
    <col min="7" max="7" width="26.1796875" customWidth="1"/>
    <col min="8" max="8" width="33.453125" customWidth="1"/>
  </cols>
  <sheetData>
    <row r="1" spans="1:10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283</v>
      </c>
      <c r="J1" s="75"/>
    </row>
    <row r="2" spans="1:10" x14ac:dyDescent="0.35">
      <c r="A2" t="s">
        <v>285</v>
      </c>
      <c r="B2" t="s">
        <v>21</v>
      </c>
      <c r="C2" t="s">
        <v>7</v>
      </c>
      <c r="D2" t="s">
        <v>24</v>
      </c>
      <c r="E2">
        <v>708.1</v>
      </c>
      <c r="F2">
        <v>1493</v>
      </c>
      <c r="G2" t="s">
        <v>287</v>
      </c>
      <c r="H2">
        <v>47.1</v>
      </c>
      <c r="I2">
        <f>SUBTOTAL(9,E2,H2)</f>
        <v>755.2</v>
      </c>
    </row>
    <row r="3" spans="1:10" x14ac:dyDescent="0.35">
      <c r="A3" t="s">
        <v>285</v>
      </c>
      <c r="B3" t="s">
        <v>21</v>
      </c>
      <c r="C3" t="s">
        <v>7</v>
      </c>
      <c r="D3" t="s">
        <v>25</v>
      </c>
      <c r="E3">
        <v>372.3</v>
      </c>
      <c r="F3">
        <v>1147</v>
      </c>
      <c r="G3" t="s">
        <v>297</v>
      </c>
      <c r="H3">
        <v>17.399999999999999</v>
      </c>
      <c r="I3">
        <f t="shared" ref="I3:I43" si="0">SUBTOTAL(9,E3,H3)</f>
        <v>389.7</v>
      </c>
    </row>
    <row r="4" spans="1:10" x14ac:dyDescent="0.35">
      <c r="A4" t="s">
        <v>285</v>
      </c>
      <c r="B4" t="s">
        <v>21</v>
      </c>
      <c r="C4" t="s">
        <v>7</v>
      </c>
      <c r="D4" t="s">
        <v>26</v>
      </c>
      <c r="E4">
        <v>309.10000000000002</v>
      </c>
      <c r="F4">
        <v>1271</v>
      </c>
      <c r="G4" t="s">
        <v>306</v>
      </c>
      <c r="H4">
        <v>54.9</v>
      </c>
      <c r="I4">
        <f t="shared" si="0"/>
        <v>364</v>
      </c>
    </row>
    <row r="5" spans="1:10" x14ac:dyDescent="0.35">
      <c r="A5" t="s">
        <v>285</v>
      </c>
      <c r="B5" t="s">
        <v>21</v>
      </c>
      <c r="C5" t="s">
        <v>8</v>
      </c>
      <c r="D5" t="s">
        <v>24</v>
      </c>
      <c r="E5">
        <v>1737</v>
      </c>
      <c r="F5">
        <v>5169</v>
      </c>
      <c r="G5" t="s">
        <v>286</v>
      </c>
      <c r="H5">
        <v>325.2</v>
      </c>
      <c r="I5">
        <f t="shared" si="0"/>
        <v>2062.1999999999998</v>
      </c>
    </row>
    <row r="6" spans="1:10" x14ac:dyDescent="0.35">
      <c r="A6" t="s">
        <v>285</v>
      </c>
      <c r="B6" s="1" t="s">
        <v>21</v>
      </c>
      <c r="C6" s="1" t="s">
        <v>8</v>
      </c>
      <c r="D6" s="1" t="s">
        <v>25</v>
      </c>
      <c r="E6" s="1">
        <v>3786.7</v>
      </c>
      <c r="F6" s="1">
        <v>17800</v>
      </c>
      <c r="G6" s="1" t="s">
        <v>307</v>
      </c>
      <c r="H6" s="1">
        <v>147.1</v>
      </c>
      <c r="I6" s="1">
        <f t="shared" si="0"/>
        <v>3933.7999999999997</v>
      </c>
    </row>
    <row r="7" spans="1:10" x14ac:dyDescent="0.35">
      <c r="A7" t="s">
        <v>285</v>
      </c>
      <c r="B7" s="1" t="s">
        <v>21</v>
      </c>
      <c r="C7" s="1" t="s">
        <v>8</v>
      </c>
      <c r="D7" s="1" t="s">
        <v>26</v>
      </c>
      <c r="E7" s="1">
        <v>3462.8</v>
      </c>
      <c r="F7" s="1">
        <v>54420</v>
      </c>
      <c r="G7" s="1" t="s">
        <v>308</v>
      </c>
      <c r="H7" s="1">
        <v>81</v>
      </c>
      <c r="I7" s="1">
        <f t="shared" si="0"/>
        <v>3543.8</v>
      </c>
    </row>
    <row r="8" spans="1:10" x14ac:dyDescent="0.35">
      <c r="A8" t="s">
        <v>285</v>
      </c>
      <c r="B8" t="s">
        <v>21</v>
      </c>
      <c r="C8" t="s">
        <v>9</v>
      </c>
      <c r="D8" t="s">
        <v>24</v>
      </c>
      <c r="E8">
        <v>292.10000000000002</v>
      </c>
      <c r="F8">
        <v>738</v>
      </c>
      <c r="G8" t="s">
        <v>288</v>
      </c>
      <c r="H8">
        <v>11.7</v>
      </c>
      <c r="I8">
        <f t="shared" si="0"/>
        <v>303.8</v>
      </c>
    </row>
    <row r="9" spans="1:10" x14ac:dyDescent="0.35">
      <c r="A9" t="s">
        <v>285</v>
      </c>
      <c r="B9" t="s">
        <v>21</v>
      </c>
      <c r="C9" t="s">
        <v>9</v>
      </c>
      <c r="D9" t="s">
        <v>25</v>
      </c>
      <c r="E9">
        <v>236</v>
      </c>
      <c r="F9">
        <v>1654</v>
      </c>
      <c r="G9" t="s">
        <v>298</v>
      </c>
      <c r="H9">
        <v>9.8000000000000007</v>
      </c>
      <c r="I9">
        <f t="shared" si="0"/>
        <v>245.8</v>
      </c>
    </row>
    <row r="10" spans="1:10" x14ac:dyDescent="0.35">
      <c r="A10" t="s">
        <v>285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10" x14ac:dyDescent="0.35">
      <c r="A11" t="s">
        <v>285</v>
      </c>
      <c r="B11" s="1" t="s">
        <v>21</v>
      </c>
      <c r="C11" s="1" t="s">
        <v>10</v>
      </c>
      <c r="D11" s="1" t="s">
        <v>24</v>
      </c>
      <c r="E11" s="1">
        <v>3778.3</v>
      </c>
      <c r="F11" s="1">
        <v>15730</v>
      </c>
      <c r="G11" s="1" t="s">
        <v>188</v>
      </c>
      <c r="H11" s="1">
        <v>114.7</v>
      </c>
      <c r="I11" s="1">
        <f t="shared" si="0"/>
        <v>3893</v>
      </c>
    </row>
    <row r="12" spans="1:10" x14ac:dyDescent="0.35">
      <c r="A12" t="s">
        <v>285</v>
      </c>
      <c r="B12" t="s">
        <v>21</v>
      </c>
      <c r="C12" t="s">
        <v>10</v>
      </c>
      <c r="D12" t="s">
        <v>25</v>
      </c>
      <c r="E12">
        <v>1452.8</v>
      </c>
      <c r="F12">
        <v>8462</v>
      </c>
      <c r="G12" t="s">
        <v>299</v>
      </c>
      <c r="H12">
        <v>52.7</v>
      </c>
      <c r="I12">
        <f t="shared" si="0"/>
        <v>1505.5</v>
      </c>
    </row>
    <row r="13" spans="1:10" x14ac:dyDescent="0.35">
      <c r="A13" t="s">
        <v>285</v>
      </c>
      <c r="B13" t="s">
        <v>21</v>
      </c>
      <c r="C13" t="s">
        <v>10</v>
      </c>
      <c r="D13" t="s">
        <v>26</v>
      </c>
      <c r="E13">
        <v>328.9</v>
      </c>
      <c r="F13">
        <v>1415</v>
      </c>
      <c r="G13" t="s">
        <v>309</v>
      </c>
      <c r="H13">
        <v>53.7</v>
      </c>
      <c r="I13">
        <f>SUBTOTAL(9,E13,H13)</f>
        <v>382.59999999999997</v>
      </c>
    </row>
    <row r="14" spans="1:10" x14ac:dyDescent="0.35">
      <c r="A14" t="s">
        <v>285</v>
      </c>
      <c r="B14" t="s">
        <v>21</v>
      </c>
      <c r="C14" t="s">
        <v>11</v>
      </c>
      <c r="D14" t="s">
        <v>24</v>
      </c>
      <c r="E14">
        <v>933.4</v>
      </c>
      <c r="F14">
        <v>2554</v>
      </c>
      <c r="G14" t="s">
        <v>289</v>
      </c>
      <c r="H14">
        <v>42</v>
      </c>
      <c r="I14">
        <f t="shared" si="0"/>
        <v>975.4</v>
      </c>
    </row>
    <row r="15" spans="1:10" x14ac:dyDescent="0.35">
      <c r="A15" t="s">
        <v>285</v>
      </c>
      <c r="B15" t="s">
        <v>21</v>
      </c>
      <c r="C15" t="s">
        <v>11</v>
      </c>
      <c r="D15" t="s">
        <v>25</v>
      </c>
      <c r="E15">
        <v>545.20000000000005</v>
      </c>
      <c r="F15">
        <v>1560</v>
      </c>
      <c r="G15" t="s">
        <v>300</v>
      </c>
      <c r="H15">
        <v>83.3</v>
      </c>
      <c r="I15">
        <f t="shared" si="0"/>
        <v>628.5</v>
      </c>
    </row>
    <row r="16" spans="1:10" x14ac:dyDescent="0.35">
      <c r="A16" t="s">
        <v>285</v>
      </c>
      <c r="B16" t="s">
        <v>21</v>
      </c>
      <c r="C16" t="s">
        <v>11</v>
      </c>
      <c r="D16" t="s">
        <v>26</v>
      </c>
      <c r="E16">
        <v>968.4</v>
      </c>
      <c r="F16">
        <v>5623</v>
      </c>
      <c r="G16" t="s">
        <v>271</v>
      </c>
      <c r="H16">
        <v>153.69999999999999</v>
      </c>
      <c r="I16">
        <f t="shared" si="0"/>
        <v>1122.0999999999999</v>
      </c>
    </row>
    <row r="17" spans="1:9" x14ac:dyDescent="0.35">
      <c r="A17" t="s">
        <v>285</v>
      </c>
      <c r="B17" t="s">
        <v>21</v>
      </c>
      <c r="C17" t="s">
        <v>12</v>
      </c>
      <c r="D17" t="s">
        <v>24</v>
      </c>
      <c r="E17">
        <v>873.2</v>
      </c>
      <c r="F17">
        <v>3667</v>
      </c>
      <c r="G17" t="s">
        <v>290</v>
      </c>
      <c r="H17">
        <v>56.9</v>
      </c>
      <c r="I17">
        <f t="shared" si="0"/>
        <v>930.1</v>
      </c>
    </row>
    <row r="18" spans="1:9" x14ac:dyDescent="0.35">
      <c r="A18" t="s">
        <v>285</v>
      </c>
      <c r="B18" t="s">
        <v>21</v>
      </c>
      <c r="C18" t="s">
        <v>12</v>
      </c>
      <c r="D18" t="s">
        <v>25</v>
      </c>
      <c r="E18">
        <v>70.7</v>
      </c>
      <c r="F18">
        <v>230</v>
      </c>
      <c r="G18" t="s">
        <v>301</v>
      </c>
      <c r="H18">
        <v>3.6</v>
      </c>
      <c r="I18">
        <f t="shared" si="0"/>
        <v>74.3</v>
      </c>
    </row>
    <row r="19" spans="1:9" x14ac:dyDescent="0.35">
      <c r="A19" t="s">
        <v>285</v>
      </c>
      <c r="B19" t="s">
        <v>21</v>
      </c>
      <c r="C19" t="s">
        <v>12</v>
      </c>
      <c r="D19" t="s">
        <v>26</v>
      </c>
      <c r="E19">
        <v>126.9</v>
      </c>
      <c r="F19">
        <v>519</v>
      </c>
      <c r="G19" t="s">
        <v>188</v>
      </c>
      <c r="H19">
        <v>100.8</v>
      </c>
      <c r="I19">
        <f t="shared" si="0"/>
        <v>227.7</v>
      </c>
    </row>
    <row r="20" spans="1:9" x14ac:dyDescent="0.35">
      <c r="A20" t="s">
        <v>285</v>
      </c>
      <c r="B20" t="s">
        <v>21</v>
      </c>
      <c r="C20" t="s">
        <v>219</v>
      </c>
      <c r="D20" t="s">
        <v>24</v>
      </c>
      <c r="E20">
        <v>83.9</v>
      </c>
      <c r="F20">
        <v>231</v>
      </c>
      <c r="G20" t="s">
        <v>291</v>
      </c>
      <c r="H20">
        <v>18.3</v>
      </c>
      <c r="I20">
        <f t="shared" si="0"/>
        <v>102.2</v>
      </c>
    </row>
    <row r="21" spans="1:9" x14ac:dyDescent="0.35">
      <c r="A21" t="s">
        <v>285</v>
      </c>
      <c r="B21" t="s">
        <v>21</v>
      </c>
      <c r="C21" t="s">
        <v>219</v>
      </c>
      <c r="D21" t="s">
        <v>25</v>
      </c>
      <c r="E21">
        <v>62.1</v>
      </c>
      <c r="F21">
        <v>201</v>
      </c>
      <c r="G21" t="s">
        <v>291</v>
      </c>
      <c r="H21">
        <v>9.5</v>
      </c>
      <c r="I21">
        <f t="shared" si="0"/>
        <v>71.599999999999994</v>
      </c>
    </row>
    <row r="22" spans="1:9" x14ac:dyDescent="0.35">
      <c r="A22" t="s">
        <v>285</v>
      </c>
      <c r="B22" t="s">
        <v>21</v>
      </c>
      <c r="C22" t="s">
        <v>219</v>
      </c>
      <c r="D22" t="s">
        <v>26</v>
      </c>
      <c r="E22">
        <v>101.9</v>
      </c>
      <c r="F22">
        <v>1422</v>
      </c>
      <c r="G22" t="s">
        <v>291</v>
      </c>
      <c r="H22">
        <v>35</v>
      </c>
      <c r="I22">
        <f t="shared" si="0"/>
        <v>136.9</v>
      </c>
    </row>
    <row r="23" spans="1:9" x14ac:dyDescent="0.35">
      <c r="A23" t="s">
        <v>285</v>
      </c>
      <c r="B23" t="s">
        <v>22</v>
      </c>
      <c r="C23" t="s">
        <v>13</v>
      </c>
      <c r="D23" t="s">
        <v>24</v>
      </c>
      <c r="E23">
        <v>1183.8</v>
      </c>
      <c r="F23">
        <v>4357</v>
      </c>
      <c r="G23" t="s">
        <v>292</v>
      </c>
      <c r="H23">
        <v>51.2</v>
      </c>
      <c r="I23">
        <f t="shared" si="0"/>
        <v>1235</v>
      </c>
    </row>
    <row r="24" spans="1:9" x14ac:dyDescent="0.35">
      <c r="A24" t="s">
        <v>285</v>
      </c>
      <c r="B24" t="s">
        <v>22</v>
      </c>
      <c r="C24" t="s">
        <v>13</v>
      </c>
      <c r="D24" t="s">
        <v>25</v>
      </c>
      <c r="E24">
        <v>478.8</v>
      </c>
      <c r="F24">
        <v>928</v>
      </c>
      <c r="G24" t="s">
        <v>302</v>
      </c>
      <c r="H24">
        <v>19.8</v>
      </c>
      <c r="I24">
        <f t="shared" si="0"/>
        <v>498.6</v>
      </c>
    </row>
    <row r="25" spans="1:9" x14ac:dyDescent="0.35">
      <c r="A25" t="s">
        <v>285</v>
      </c>
      <c r="B25" t="s">
        <v>22</v>
      </c>
      <c r="C25" t="s">
        <v>13</v>
      </c>
      <c r="D25" t="s">
        <v>26</v>
      </c>
      <c r="E25">
        <v>2308.1</v>
      </c>
      <c r="F25">
        <v>55580</v>
      </c>
      <c r="G25" t="s">
        <v>302</v>
      </c>
      <c r="H25">
        <v>251.9</v>
      </c>
      <c r="I25">
        <f t="shared" si="0"/>
        <v>2560</v>
      </c>
    </row>
    <row r="26" spans="1:9" x14ac:dyDescent="0.35">
      <c r="A26" t="s">
        <v>285</v>
      </c>
      <c r="B26" t="s">
        <v>22</v>
      </c>
      <c r="C26" t="s">
        <v>14</v>
      </c>
      <c r="D26" t="s">
        <v>24</v>
      </c>
      <c r="E26">
        <v>1500.4</v>
      </c>
      <c r="F26">
        <v>6130</v>
      </c>
      <c r="G26" t="s">
        <v>294</v>
      </c>
      <c r="H26">
        <v>142.9</v>
      </c>
      <c r="I26">
        <f>SUBTOTAL(9,E26,H26)</f>
        <v>1643.3000000000002</v>
      </c>
    </row>
    <row r="27" spans="1:9" x14ac:dyDescent="0.35">
      <c r="A27" t="s">
        <v>285</v>
      </c>
      <c r="B27" t="s">
        <v>22</v>
      </c>
      <c r="C27" t="s">
        <v>14</v>
      </c>
      <c r="D27" t="s">
        <v>25</v>
      </c>
      <c r="E27">
        <v>1716.1</v>
      </c>
      <c r="F27">
        <v>7506</v>
      </c>
      <c r="G27" t="s">
        <v>303</v>
      </c>
      <c r="H27">
        <v>51</v>
      </c>
      <c r="I27">
        <f t="shared" si="0"/>
        <v>1767.1</v>
      </c>
    </row>
    <row r="28" spans="1:9" x14ac:dyDescent="0.35">
      <c r="A28" t="s">
        <v>285</v>
      </c>
      <c r="B28" t="s">
        <v>22</v>
      </c>
      <c r="C28" t="s">
        <v>14</v>
      </c>
      <c r="D28" t="s">
        <v>26</v>
      </c>
      <c r="E28">
        <v>989.9</v>
      </c>
      <c r="F28">
        <v>14657</v>
      </c>
      <c r="G28" t="s">
        <v>310</v>
      </c>
      <c r="H28">
        <v>143.19999999999999</v>
      </c>
      <c r="I28">
        <f t="shared" si="0"/>
        <v>1133.0999999999999</v>
      </c>
    </row>
    <row r="29" spans="1:9" x14ac:dyDescent="0.35">
      <c r="A29" t="s">
        <v>285</v>
      </c>
      <c r="B29" t="s">
        <v>22</v>
      </c>
      <c r="C29" t="s">
        <v>15</v>
      </c>
      <c r="D29" t="s">
        <v>24</v>
      </c>
      <c r="E29">
        <v>1626.6</v>
      </c>
      <c r="F29">
        <v>8593</v>
      </c>
      <c r="G29" t="s">
        <v>271</v>
      </c>
      <c r="H29">
        <v>649.20000000000005</v>
      </c>
      <c r="I29">
        <f t="shared" si="0"/>
        <v>2275.8000000000002</v>
      </c>
    </row>
    <row r="30" spans="1:9" x14ac:dyDescent="0.35">
      <c r="A30" t="s">
        <v>285</v>
      </c>
      <c r="B30" t="s">
        <v>22</v>
      </c>
      <c r="C30" t="s">
        <v>15</v>
      </c>
      <c r="D30" t="s">
        <v>25</v>
      </c>
      <c r="E30">
        <v>1137.7</v>
      </c>
      <c r="F30">
        <v>2878</v>
      </c>
      <c r="G30" t="s">
        <v>304</v>
      </c>
      <c r="H30">
        <v>500.8</v>
      </c>
      <c r="I30">
        <f t="shared" si="0"/>
        <v>1638.5</v>
      </c>
    </row>
    <row r="31" spans="1:9" x14ac:dyDescent="0.35">
      <c r="A31" t="s">
        <v>285</v>
      </c>
      <c r="B31" t="s">
        <v>22</v>
      </c>
      <c r="C31" t="s">
        <v>15</v>
      </c>
      <c r="D31" t="s">
        <v>26</v>
      </c>
      <c r="E31">
        <v>876.5</v>
      </c>
      <c r="F31">
        <v>8771</v>
      </c>
      <c r="G31" t="s">
        <v>311</v>
      </c>
      <c r="H31">
        <v>527.70000000000005</v>
      </c>
      <c r="I31">
        <f t="shared" si="0"/>
        <v>1404.2</v>
      </c>
    </row>
    <row r="32" spans="1:9" x14ac:dyDescent="0.35">
      <c r="A32" t="s">
        <v>285</v>
      </c>
      <c r="B32" s="1" t="s">
        <v>22</v>
      </c>
      <c r="C32" s="1" t="s">
        <v>16</v>
      </c>
      <c r="D32" s="1" t="s">
        <v>24</v>
      </c>
      <c r="E32" s="1">
        <v>19081.099999999999</v>
      </c>
      <c r="F32" s="1">
        <v>41610</v>
      </c>
      <c r="G32" t="s">
        <v>271</v>
      </c>
      <c r="H32" s="1">
        <v>1018.1</v>
      </c>
      <c r="I32" s="1">
        <f t="shared" si="0"/>
        <v>20099.199999999997</v>
      </c>
    </row>
    <row r="33" spans="1:9" x14ac:dyDescent="0.35">
      <c r="A33" t="s">
        <v>285</v>
      </c>
      <c r="B33" s="1" t="s">
        <v>22</v>
      </c>
      <c r="C33" s="1" t="s">
        <v>16</v>
      </c>
      <c r="D33" s="1" t="s">
        <v>25</v>
      </c>
      <c r="E33" s="1">
        <v>6202.2</v>
      </c>
      <c r="F33" s="1">
        <v>36100</v>
      </c>
      <c r="G33" t="s">
        <v>271</v>
      </c>
      <c r="H33" s="1">
        <v>356.5</v>
      </c>
      <c r="I33" s="1">
        <f t="shared" si="0"/>
        <v>6558.7</v>
      </c>
    </row>
    <row r="34" spans="1:9" x14ac:dyDescent="0.35">
      <c r="A34" t="s">
        <v>285</v>
      </c>
      <c r="B34" s="1" t="s">
        <v>22</v>
      </c>
      <c r="C34" s="1" t="s">
        <v>16</v>
      </c>
      <c r="D34" s="1" t="s">
        <v>26</v>
      </c>
      <c r="E34" s="1">
        <v>3087.2</v>
      </c>
      <c r="F34" s="1">
        <v>10019</v>
      </c>
      <c r="G34" t="s">
        <v>271</v>
      </c>
      <c r="H34" s="1">
        <v>195.5</v>
      </c>
      <c r="I34" s="1">
        <f t="shared" si="0"/>
        <v>3282.7</v>
      </c>
    </row>
    <row r="35" spans="1:9" x14ac:dyDescent="0.35">
      <c r="A35" t="s">
        <v>285</v>
      </c>
      <c r="B35" t="s">
        <v>23</v>
      </c>
      <c r="C35" t="s">
        <v>18</v>
      </c>
      <c r="D35" t="s">
        <v>24</v>
      </c>
      <c r="E35">
        <v>1770.7</v>
      </c>
      <c r="F35">
        <v>3387</v>
      </c>
      <c r="G35" t="s">
        <v>295</v>
      </c>
      <c r="H35">
        <v>604.4</v>
      </c>
      <c r="I35">
        <f t="shared" si="0"/>
        <v>2375.1</v>
      </c>
    </row>
    <row r="36" spans="1:9" x14ac:dyDescent="0.35">
      <c r="A36" t="s">
        <v>285</v>
      </c>
      <c r="B36" s="1" t="s">
        <v>23</v>
      </c>
      <c r="C36" s="1" t="s">
        <v>18</v>
      </c>
      <c r="D36" s="1" t="s">
        <v>25</v>
      </c>
      <c r="E36" s="1">
        <v>4333.6000000000004</v>
      </c>
      <c r="F36" s="1">
        <v>14200</v>
      </c>
      <c r="G36" s="1" t="s">
        <v>304</v>
      </c>
      <c r="H36" s="1">
        <v>256.7</v>
      </c>
      <c r="I36" s="1">
        <f t="shared" si="0"/>
        <v>4590.3</v>
      </c>
    </row>
    <row r="37" spans="1:9" x14ac:dyDescent="0.35">
      <c r="A37" t="s">
        <v>285</v>
      </c>
      <c r="B37" s="1" t="s">
        <v>23</v>
      </c>
      <c r="C37" s="1" t="s">
        <v>18</v>
      </c>
      <c r="D37" s="1" t="s">
        <v>26</v>
      </c>
      <c r="E37" s="1">
        <v>1130.8</v>
      </c>
      <c r="F37" s="1">
        <v>5449</v>
      </c>
      <c r="G37" s="1" t="s">
        <v>312</v>
      </c>
      <c r="H37" s="1">
        <v>480.1</v>
      </c>
      <c r="I37" s="1">
        <f t="shared" si="0"/>
        <v>1610.9</v>
      </c>
    </row>
    <row r="38" spans="1:9" x14ac:dyDescent="0.35">
      <c r="A38" t="s">
        <v>285</v>
      </c>
      <c r="B38" s="74" t="s">
        <v>23</v>
      </c>
      <c r="C38" s="74" t="s">
        <v>19</v>
      </c>
      <c r="D38" s="74" t="s">
        <v>24</v>
      </c>
      <c r="E38" s="74">
        <v>6789.6</v>
      </c>
      <c r="F38" s="74">
        <v>12996</v>
      </c>
      <c r="G38" s="74" t="s">
        <v>296</v>
      </c>
      <c r="H38" s="74">
        <v>220.8</v>
      </c>
      <c r="I38" s="1">
        <f t="shared" si="0"/>
        <v>7010.4000000000005</v>
      </c>
    </row>
    <row r="39" spans="1:9" x14ac:dyDescent="0.35">
      <c r="A39" t="s">
        <v>285</v>
      </c>
      <c r="B39" t="s">
        <v>23</v>
      </c>
      <c r="C39" t="s">
        <v>19</v>
      </c>
      <c r="D39" t="s">
        <v>25</v>
      </c>
      <c r="E39" s="1">
        <v>3132.5</v>
      </c>
      <c r="F39" s="1">
        <v>3915</v>
      </c>
      <c r="G39" s="74" t="s">
        <v>296</v>
      </c>
      <c r="H39" s="1">
        <v>217</v>
      </c>
      <c r="I39">
        <f t="shared" si="0"/>
        <v>3349.5</v>
      </c>
    </row>
    <row r="40" spans="1:9" x14ac:dyDescent="0.35">
      <c r="A40" t="s">
        <v>285</v>
      </c>
      <c r="B40" t="s">
        <v>23</v>
      </c>
      <c r="C40" t="s">
        <v>19</v>
      </c>
      <c r="D40" t="s">
        <v>26</v>
      </c>
      <c r="E40" s="1">
        <v>4607.7</v>
      </c>
      <c r="F40" s="1">
        <v>18756</v>
      </c>
      <c r="G40" s="74" t="s">
        <v>296</v>
      </c>
      <c r="H40" s="1">
        <v>416.9</v>
      </c>
      <c r="I40">
        <f t="shared" si="0"/>
        <v>5024.5999999999995</v>
      </c>
    </row>
    <row r="41" spans="1:9" x14ac:dyDescent="0.35">
      <c r="A41" t="s">
        <v>285</v>
      </c>
      <c r="B41" t="s">
        <v>217</v>
      </c>
      <c r="C41" t="s">
        <v>218</v>
      </c>
      <c r="D41" t="s">
        <v>24</v>
      </c>
      <c r="E41">
        <v>1105.7</v>
      </c>
      <c r="F41">
        <v>4221</v>
      </c>
      <c r="G41" t="s">
        <v>293</v>
      </c>
      <c r="H41">
        <v>13.4</v>
      </c>
      <c r="I41">
        <f t="shared" ref="I41" si="1">SUBTOTAL(9,E41,H41)</f>
        <v>1119.1000000000001</v>
      </c>
    </row>
    <row r="42" spans="1:9" x14ac:dyDescent="0.35">
      <c r="A42" t="s">
        <v>285</v>
      </c>
      <c r="B42" t="s">
        <v>217</v>
      </c>
      <c r="C42" t="s">
        <v>218</v>
      </c>
      <c r="D42" t="s">
        <v>25</v>
      </c>
      <c r="E42">
        <v>148.4</v>
      </c>
      <c r="F42">
        <v>492</v>
      </c>
      <c r="G42" t="s">
        <v>305</v>
      </c>
      <c r="H42">
        <v>18.600000000000001</v>
      </c>
      <c r="I42">
        <f t="shared" si="0"/>
        <v>167</v>
      </c>
    </row>
    <row r="43" spans="1:9" x14ac:dyDescent="0.35">
      <c r="A43" t="s">
        <v>285</v>
      </c>
      <c r="B43" t="s">
        <v>217</v>
      </c>
      <c r="C43" t="s">
        <v>218</v>
      </c>
      <c r="D43" t="s">
        <v>26</v>
      </c>
      <c r="E43">
        <v>635.9</v>
      </c>
      <c r="F43">
        <v>9278</v>
      </c>
      <c r="G43" s="74" t="s">
        <v>313</v>
      </c>
      <c r="H43">
        <v>157.5</v>
      </c>
      <c r="I43">
        <f t="shared" si="0"/>
        <v>793.4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373"/>
  <sheetViews>
    <sheetView zoomScale="102" workbookViewId="0">
      <selection activeCell="L10" sqref="L10"/>
    </sheetView>
  </sheetViews>
  <sheetFormatPr defaultRowHeight="14.5" x14ac:dyDescent="0.35"/>
  <cols>
    <col min="6" max="6" width="19.54296875" customWidth="1"/>
    <col min="7" max="7" width="17.81640625" customWidth="1"/>
    <col min="8" max="8" width="8.7265625" customWidth="1"/>
    <col min="9" max="9" width="24.1796875" customWidth="1"/>
  </cols>
  <sheetData>
    <row r="1" spans="1:9" x14ac:dyDescent="0.35">
      <c r="A1" t="s">
        <v>257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241</v>
      </c>
      <c r="G1" s="40" t="s">
        <v>242</v>
      </c>
      <c r="H1" s="1" t="s">
        <v>239</v>
      </c>
      <c r="I1" s="1" t="s">
        <v>240</v>
      </c>
    </row>
    <row r="2" spans="1:9" x14ac:dyDescent="0.35">
      <c r="A2" t="s">
        <v>249</v>
      </c>
      <c r="B2" t="s">
        <v>237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35">
      <c r="A3" t="s">
        <v>249</v>
      </c>
      <c r="B3" t="s">
        <v>237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35">
      <c r="A4" t="s">
        <v>249</v>
      </c>
      <c r="B4" t="s">
        <v>237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35">
      <c r="A5" t="s">
        <v>249</v>
      </c>
      <c r="B5" t="s">
        <v>237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35">
      <c r="A6" t="s">
        <v>249</v>
      </c>
      <c r="B6" t="s">
        <v>237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35">
      <c r="A7" t="s">
        <v>249</v>
      </c>
      <c r="B7" t="s">
        <v>237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35">
      <c r="A8" t="s">
        <v>249</v>
      </c>
      <c r="B8" t="s">
        <v>237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35">
      <c r="A9" t="s">
        <v>249</v>
      </c>
      <c r="B9" t="s">
        <v>237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35">
      <c r="A10" t="s">
        <v>249</v>
      </c>
      <c r="B10" t="s">
        <v>237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35">
      <c r="A11" t="s">
        <v>249</v>
      </c>
      <c r="B11" t="s">
        <v>237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35">
      <c r="A12" t="s">
        <v>249</v>
      </c>
      <c r="B12" t="s">
        <v>237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35">
      <c r="A13" t="s">
        <v>249</v>
      </c>
      <c r="B13" t="s">
        <v>237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35">
      <c r="A14" t="s">
        <v>249</v>
      </c>
      <c r="B14" t="s">
        <v>237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35">
      <c r="A15" t="s">
        <v>249</v>
      </c>
      <c r="B15" t="s">
        <v>237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35">
      <c r="A16" t="s">
        <v>249</v>
      </c>
      <c r="B16" t="s">
        <v>237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35">
      <c r="A17" t="s">
        <v>249</v>
      </c>
      <c r="B17" t="s">
        <v>237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35">
      <c r="A18" t="s">
        <v>249</v>
      </c>
      <c r="B18" t="s">
        <v>237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35">
      <c r="A19" t="s">
        <v>249</v>
      </c>
      <c r="B19" t="s">
        <v>237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35">
      <c r="A20" t="s">
        <v>249</v>
      </c>
      <c r="B20" t="s">
        <v>237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35">
      <c r="A21" t="s">
        <v>249</v>
      </c>
      <c r="B21" t="s">
        <v>237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35">
      <c r="A22" t="s">
        <v>249</v>
      </c>
      <c r="B22" t="s">
        <v>237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35">
      <c r="A23" t="s">
        <v>249</v>
      </c>
      <c r="B23" t="s">
        <v>237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35">
      <c r="A24" t="s">
        <v>249</v>
      </c>
      <c r="B24" t="s">
        <v>237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35">
      <c r="A25" t="s">
        <v>249</v>
      </c>
      <c r="B25" t="s">
        <v>237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35">
      <c r="A26" t="s">
        <v>249</v>
      </c>
      <c r="B26" t="s">
        <v>237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35">
      <c r="A27" t="s">
        <v>249</v>
      </c>
      <c r="B27" t="s">
        <v>237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35">
      <c r="A28" t="s">
        <v>249</v>
      </c>
      <c r="B28" t="s">
        <v>237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35">
      <c r="A29" t="s">
        <v>249</v>
      </c>
      <c r="B29" t="s">
        <v>237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35">
      <c r="A30" t="s">
        <v>249</v>
      </c>
      <c r="B30" t="s">
        <v>237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35">
      <c r="A31" t="s">
        <v>249</v>
      </c>
      <c r="B31" t="s">
        <v>237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35">
      <c r="A32" t="s">
        <v>249</v>
      </c>
      <c r="B32" t="s">
        <v>237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35">
      <c r="A33" t="s">
        <v>249</v>
      </c>
      <c r="B33" t="s">
        <v>237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35">
      <c r="A34" t="s">
        <v>249</v>
      </c>
      <c r="B34" t="s">
        <v>237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35">
      <c r="A35" t="s">
        <v>249</v>
      </c>
      <c r="B35" t="s">
        <v>237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35">
      <c r="A36" t="s">
        <v>249</v>
      </c>
      <c r="B36" t="s">
        <v>237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35">
      <c r="A37" t="s">
        <v>249</v>
      </c>
      <c r="B37" t="s">
        <v>237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35">
      <c r="A38" t="s">
        <v>249</v>
      </c>
      <c r="B38" t="s">
        <v>237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35">
      <c r="A39" t="s">
        <v>249</v>
      </c>
      <c r="B39" t="s">
        <v>237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35">
      <c r="A40" t="s">
        <v>249</v>
      </c>
      <c r="B40" t="s">
        <v>237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35">
      <c r="A41" t="s">
        <v>250</v>
      </c>
      <c r="B41" t="s">
        <v>243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35">
      <c r="A42" t="s">
        <v>250</v>
      </c>
      <c r="B42" t="s">
        <v>243</v>
      </c>
      <c r="C42" t="s">
        <v>21</v>
      </c>
      <c r="D42" t="s">
        <v>7</v>
      </c>
      <c r="E42" t="s">
        <v>25</v>
      </c>
      <c r="F42" s="5">
        <v>1260.7</v>
      </c>
      <c r="G42" s="41">
        <v>2836.15</v>
      </c>
      <c r="H42" s="5">
        <v>0</v>
      </c>
      <c r="I42" s="5">
        <v>0</v>
      </c>
    </row>
    <row r="43" spans="1:9" x14ac:dyDescent="0.35">
      <c r="A43" t="s">
        <v>250</v>
      </c>
      <c r="B43" t="s">
        <v>243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35">
      <c r="A44" t="s">
        <v>250</v>
      </c>
      <c r="B44" t="s">
        <v>243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35">
      <c r="A45" t="s">
        <v>250</v>
      </c>
      <c r="B45" t="s">
        <v>243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35">
      <c r="A46" t="s">
        <v>250</v>
      </c>
      <c r="B46" t="s">
        <v>243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35">
      <c r="A47" t="s">
        <v>250</v>
      </c>
      <c r="B47" t="s">
        <v>243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35">
      <c r="A48" t="s">
        <v>250</v>
      </c>
      <c r="B48" t="s">
        <v>243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35">
      <c r="A49" t="s">
        <v>250</v>
      </c>
      <c r="B49" t="s">
        <v>243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35">
      <c r="A50" t="s">
        <v>250</v>
      </c>
      <c r="B50" t="s">
        <v>243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35">
      <c r="A51" t="s">
        <v>250</v>
      </c>
      <c r="B51" t="s">
        <v>243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35">
      <c r="A52" t="s">
        <v>250</v>
      </c>
      <c r="B52" t="s">
        <v>243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35">
      <c r="A53" t="s">
        <v>250</v>
      </c>
      <c r="B53" t="s">
        <v>243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35">
      <c r="A54" t="s">
        <v>250</v>
      </c>
      <c r="B54" t="s">
        <v>243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35">
      <c r="A55" t="s">
        <v>250</v>
      </c>
      <c r="B55" t="s">
        <v>243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35">
      <c r="A56" t="s">
        <v>250</v>
      </c>
      <c r="B56" t="s">
        <v>243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35">
      <c r="A57" t="s">
        <v>250</v>
      </c>
      <c r="B57" t="s">
        <v>243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35">
      <c r="A58" t="s">
        <v>250</v>
      </c>
      <c r="B58" t="s">
        <v>243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35">
      <c r="A59" t="s">
        <v>250</v>
      </c>
      <c r="B59" t="s">
        <v>243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35">
      <c r="A60" t="s">
        <v>250</v>
      </c>
      <c r="B60" t="s">
        <v>243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35">
      <c r="A61" t="s">
        <v>250</v>
      </c>
      <c r="B61" t="s">
        <v>243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35">
      <c r="A62" t="s">
        <v>250</v>
      </c>
      <c r="B62" t="s">
        <v>243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35">
      <c r="A63" t="s">
        <v>250</v>
      </c>
      <c r="B63" t="s">
        <v>243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35">
      <c r="A64" t="s">
        <v>250</v>
      </c>
      <c r="B64" t="s">
        <v>243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35">
      <c r="A65" t="s">
        <v>250</v>
      </c>
      <c r="B65" t="s">
        <v>243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35">
      <c r="A66" t="s">
        <v>250</v>
      </c>
      <c r="B66" t="s">
        <v>243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35">
      <c r="A67" t="s">
        <v>250</v>
      </c>
      <c r="B67" t="s">
        <v>243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35">
      <c r="A68" t="s">
        <v>250</v>
      </c>
      <c r="B68" t="s">
        <v>243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35">
      <c r="A69" t="s">
        <v>250</v>
      </c>
      <c r="B69" t="s">
        <v>243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35">
      <c r="A70" t="s">
        <v>250</v>
      </c>
      <c r="B70" t="s">
        <v>243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35">
      <c r="A71" t="s">
        <v>250</v>
      </c>
      <c r="B71" t="s">
        <v>243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35">
      <c r="A72" t="s">
        <v>250</v>
      </c>
      <c r="B72" t="s">
        <v>243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35">
      <c r="A73" t="s">
        <v>250</v>
      </c>
      <c r="B73" t="s">
        <v>243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35">
      <c r="A74" t="s">
        <v>250</v>
      </c>
      <c r="B74" t="s">
        <v>243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35">
      <c r="A75" t="s">
        <v>250</v>
      </c>
      <c r="B75" t="s">
        <v>243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35">
      <c r="A76" t="s">
        <v>250</v>
      </c>
      <c r="B76" t="s">
        <v>243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35">
      <c r="A77" t="s">
        <v>250</v>
      </c>
      <c r="B77" t="s">
        <v>243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35">
      <c r="A78" t="s">
        <v>250</v>
      </c>
      <c r="B78" t="s">
        <v>243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35">
      <c r="A79" t="s">
        <v>250</v>
      </c>
      <c r="B79" t="s">
        <v>243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35">
      <c r="A80" s="36" t="s">
        <v>251</v>
      </c>
      <c r="B80" t="s">
        <v>244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35">
      <c r="A81" t="s">
        <v>251</v>
      </c>
      <c r="B81" t="s">
        <v>244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35">
      <c r="A82" t="s">
        <v>251</v>
      </c>
      <c r="B82" t="s">
        <v>244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35">
      <c r="A83" t="s">
        <v>251</v>
      </c>
      <c r="B83" t="s">
        <v>244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35">
      <c r="A84" t="s">
        <v>252</v>
      </c>
      <c r="B84" t="s">
        <v>244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35">
      <c r="A85" t="s">
        <v>252</v>
      </c>
      <c r="B85" t="s">
        <v>244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35">
      <c r="A86" t="s">
        <v>252</v>
      </c>
      <c r="B86" t="s">
        <v>244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35">
      <c r="A87" t="s">
        <v>252</v>
      </c>
      <c r="B87" t="s">
        <v>244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35">
      <c r="A88" t="s">
        <v>252</v>
      </c>
      <c r="B88" t="s">
        <v>244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35">
      <c r="A89" t="s">
        <v>252</v>
      </c>
      <c r="B89" t="s">
        <v>244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35">
      <c r="A90" t="s">
        <v>252</v>
      </c>
      <c r="B90" t="s">
        <v>244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35">
      <c r="A91" t="s">
        <v>252</v>
      </c>
      <c r="B91" t="s">
        <v>244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35">
      <c r="A92" t="s">
        <v>252</v>
      </c>
      <c r="B92" t="s">
        <v>244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35">
      <c r="A93" t="s">
        <v>252</v>
      </c>
      <c r="B93" t="s">
        <v>244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35">
      <c r="A94" t="s">
        <v>252</v>
      </c>
      <c r="B94" t="s">
        <v>244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35">
      <c r="A95" t="s">
        <v>252</v>
      </c>
      <c r="B95" t="s">
        <v>244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35">
      <c r="A96" t="s">
        <v>252</v>
      </c>
      <c r="B96" t="s">
        <v>244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35">
      <c r="A97" t="s">
        <v>252</v>
      </c>
      <c r="B97" t="s">
        <v>244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35">
      <c r="A98" t="s">
        <v>252</v>
      </c>
      <c r="B98" t="s">
        <v>244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35">
      <c r="A99" t="s">
        <v>252</v>
      </c>
      <c r="B99" t="s">
        <v>244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35">
      <c r="A100" t="s">
        <v>252</v>
      </c>
      <c r="B100" t="s">
        <v>244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35">
      <c r="A101" t="s">
        <v>252</v>
      </c>
      <c r="B101" t="s">
        <v>244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35">
      <c r="A102" t="s">
        <v>252</v>
      </c>
      <c r="B102" t="s">
        <v>244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35">
      <c r="A103" t="s">
        <v>252</v>
      </c>
      <c r="B103" t="s">
        <v>244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35">
      <c r="A104" t="s">
        <v>252</v>
      </c>
      <c r="B104" t="s">
        <v>244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35">
      <c r="A105" t="s">
        <v>252</v>
      </c>
      <c r="B105" t="s">
        <v>244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35">
      <c r="A106" t="s">
        <v>252</v>
      </c>
      <c r="B106" t="s">
        <v>244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35">
      <c r="A107" t="s">
        <v>252</v>
      </c>
      <c r="B107" t="s">
        <v>244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35">
      <c r="A108" t="s">
        <v>252</v>
      </c>
      <c r="B108" t="s">
        <v>244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35">
      <c r="A109" t="s">
        <v>252</v>
      </c>
      <c r="B109" t="s">
        <v>244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35">
      <c r="A110" t="s">
        <v>252</v>
      </c>
      <c r="B110" t="s">
        <v>244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35">
      <c r="A111" t="s">
        <v>252</v>
      </c>
      <c r="B111" t="s">
        <v>244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35">
      <c r="A112" t="s">
        <v>252</v>
      </c>
      <c r="B112" t="s">
        <v>244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35">
      <c r="A113" t="s">
        <v>252</v>
      </c>
      <c r="B113" t="s">
        <v>244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35">
      <c r="A114" t="s">
        <v>252</v>
      </c>
      <c r="B114" t="s">
        <v>244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35">
      <c r="A115" t="s">
        <v>252</v>
      </c>
      <c r="B115" t="s">
        <v>244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35">
      <c r="A116" t="s">
        <v>252</v>
      </c>
      <c r="B116" t="s">
        <v>244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35">
      <c r="A117" t="s">
        <v>252</v>
      </c>
      <c r="B117" t="s">
        <v>244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35">
      <c r="A118" t="s">
        <v>252</v>
      </c>
      <c r="B118" t="s">
        <v>244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35">
      <c r="A119" t="s">
        <v>252</v>
      </c>
      <c r="B119" t="s">
        <v>244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35">
      <c r="A120" t="s">
        <v>252</v>
      </c>
      <c r="B120" t="s">
        <v>244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35">
      <c r="A121" t="s">
        <v>252</v>
      </c>
      <c r="B121" t="s">
        <v>244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x14ac:dyDescent="0.35">
      <c r="A122" s="36" t="s">
        <v>253</v>
      </c>
      <c r="B122" s="37" t="s">
        <v>245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x14ac:dyDescent="0.35">
      <c r="A123" t="s">
        <v>253</v>
      </c>
      <c r="B123" s="20" t="s">
        <v>246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x14ac:dyDescent="0.35">
      <c r="A124" t="s">
        <v>253</v>
      </c>
      <c r="B124" s="20" t="s">
        <v>246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x14ac:dyDescent="0.35">
      <c r="A125" t="s">
        <v>253</v>
      </c>
      <c r="B125" s="20" t="s">
        <v>246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x14ac:dyDescent="0.35">
      <c r="A126" t="s">
        <v>253</v>
      </c>
      <c r="B126" s="20" t="s">
        <v>246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x14ac:dyDescent="0.35">
      <c r="A127" t="s">
        <v>253</v>
      </c>
      <c r="B127" s="20" t="s">
        <v>236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x14ac:dyDescent="0.35">
      <c r="A128" t="s">
        <v>253</v>
      </c>
      <c r="B128" s="20" t="s">
        <v>246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x14ac:dyDescent="0.35">
      <c r="A129" t="s">
        <v>253</v>
      </c>
      <c r="B129" s="20" t="s">
        <v>246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x14ac:dyDescent="0.35">
      <c r="A130" t="s">
        <v>253</v>
      </c>
      <c r="B130" s="20" t="s">
        <v>246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x14ac:dyDescent="0.35">
      <c r="A131" t="s">
        <v>253</v>
      </c>
      <c r="B131" s="20" t="s">
        <v>246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x14ac:dyDescent="0.35">
      <c r="A132" t="s">
        <v>253</v>
      </c>
      <c r="B132" s="20" t="s">
        <v>236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x14ac:dyDescent="0.35">
      <c r="A133" t="s">
        <v>253</v>
      </c>
      <c r="B133" s="20" t="s">
        <v>246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x14ac:dyDescent="0.35">
      <c r="A134" t="s">
        <v>253</v>
      </c>
      <c r="B134" s="20" t="s">
        <v>246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x14ac:dyDescent="0.35">
      <c r="A135" t="s">
        <v>253</v>
      </c>
      <c r="B135" s="20" t="s">
        <v>246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x14ac:dyDescent="0.35">
      <c r="A136" t="s">
        <v>253</v>
      </c>
      <c r="B136" s="20" t="s">
        <v>246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x14ac:dyDescent="0.35">
      <c r="A137" t="s">
        <v>253</v>
      </c>
      <c r="B137" s="20" t="s">
        <v>236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x14ac:dyDescent="0.35">
      <c r="A138" t="s">
        <v>253</v>
      </c>
      <c r="B138" s="20" t="s">
        <v>246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x14ac:dyDescent="0.35">
      <c r="A139" t="s">
        <v>253</v>
      </c>
      <c r="B139" s="20" t="s">
        <v>246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x14ac:dyDescent="0.35">
      <c r="A140" t="s">
        <v>253</v>
      </c>
      <c r="B140" s="20" t="s">
        <v>246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x14ac:dyDescent="0.35">
      <c r="A141" t="s">
        <v>253</v>
      </c>
      <c r="B141" s="20" t="s">
        <v>246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x14ac:dyDescent="0.35">
      <c r="A142" t="s">
        <v>253</v>
      </c>
      <c r="B142" s="20" t="s">
        <v>236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x14ac:dyDescent="0.35">
      <c r="A143" t="s">
        <v>253</v>
      </c>
      <c r="B143" s="20" t="s">
        <v>246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x14ac:dyDescent="0.35">
      <c r="A144" t="s">
        <v>253</v>
      </c>
      <c r="B144" s="20" t="s">
        <v>246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x14ac:dyDescent="0.35">
      <c r="A145" t="s">
        <v>253</v>
      </c>
      <c r="B145" s="20" t="s">
        <v>246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x14ac:dyDescent="0.35">
      <c r="A146" t="s">
        <v>253</v>
      </c>
      <c r="B146" s="20" t="s">
        <v>246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x14ac:dyDescent="0.35">
      <c r="A147" t="s">
        <v>253</v>
      </c>
      <c r="B147" s="20" t="s">
        <v>236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x14ac:dyDescent="0.35">
      <c r="A148" t="s">
        <v>253</v>
      </c>
      <c r="B148" s="20" t="s">
        <v>246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x14ac:dyDescent="0.35">
      <c r="A149" t="s">
        <v>253</v>
      </c>
      <c r="B149" s="20" t="s">
        <v>246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x14ac:dyDescent="0.35">
      <c r="A150" t="s">
        <v>253</v>
      </c>
      <c r="B150" s="20" t="s">
        <v>246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x14ac:dyDescent="0.35">
      <c r="A151" t="s">
        <v>253</v>
      </c>
      <c r="B151" s="20" t="s">
        <v>246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x14ac:dyDescent="0.35">
      <c r="A152" t="s">
        <v>253</v>
      </c>
      <c r="B152" s="20" t="s">
        <v>236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x14ac:dyDescent="0.35">
      <c r="A153" t="s">
        <v>253</v>
      </c>
      <c r="B153" s="20" t="s">
        <v>246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x14ac:dyDescent="0.35">
      <c r="A154" t="s">
        <v>253</v>
      </c>
      <c r="B154" s="20" t="s">
        <v>246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x14ac:dyDescent="0.35">
      <c r="A155" t="s">
        <v>253</v>
      </c>
      <c r="B155" s="20" t="s">
        <v>246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x14ac:dyDescent="0.35">
      <c r="A156" t="s">
        <v>253</v>
      </c>
      <c r="B156" s="20" t="s">
        <v>246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x14ac:dyDescent="0.35">
      <c r="A157" t="s">
        <v>253</v>
      </c>
      <c r="B157" s="20" t="s">
        <v>236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x14ac:dyDescent="0.35">
      <c r="A158" t="s">
        <v>253</v>
      </c>
      <c r="B158" s="20" t="s">
        <v>246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x14ac:dyDescent="0.35">
      <c r="A159" t="s">
        <v>253</v>
      </c>
      <c r="B159" s="20" t="s">
        <v>246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x14ac:dyDescent="0.35">
      <c r="A160" t="s">
        <v>253</v>
      </c>
      <c r="B160" s="20" t="s">
        <v>246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x14ac:dyDescent="0.35">
      <c r="A161" t="s">
        <v>253</v>
      </c>
      <c r="B161" s="20" t="s">
        <v>246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x14ac:dyDescent="0.35">
      <c r="A162" t="s">
        <v>253</v>
      </c>
      <c r="B162" s="20" t="s">
        <v>236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x14ac:dyDescent="0.35">
      <c r="A163" t="s">
        <v>253</v>
      </c>
      <c r="B163" s="20" t="s">
        <v>246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35">
      <c r="A164" s="36" t="s">
        <v>254</v>
      </c>
      <c r="B164" s="37" t="s">
        <v>247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35">
      <c r="A165" t="s">
        <v>254</v>
      </c>
      <c r="B165" s="20" t="s">
        <v>247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35">
      <c r="A166" t="s">
        <v>254</v>
      </c>
      <c r="B166" s="20" t="s">
        <v>247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35">
      <c r="A167" t="s">
        <v>254</v>
      </c>
      <c r="B167" s="20" t="s">
        <v>247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35">
      <c r="A168" t="s">
        <v>254</v>
      </c>
      <c r="B168" s="20" t="s">
        <v>247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35">
      <c r="A169" t="s">
        <v>254</v>
      </c>
      <c r="B169" s="20" t="s">
        <v>247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35">
      <c r="A170" t="s">
        <v>254</v>
      </c>
      <c r="B170" s="20" t="s">
        <v>247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35">
      <c r="A171" t="s">
        <v>254</v>
      </c>
      <c r="B171" s="20" t="s">
        <v>247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35">
      <c r="A172" t="s">
        <v>254</v>
      </c>
      <c r="B172" s="20" t="s">
        <v>247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35">
      <c r="A173" t="s">
        <v>254</v>
      </c>
      <c r="B173" s="20" t="s">
        <v>247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35">
      <c r="A174" t="s">
        <v>254</v>
      </c>
      <c r="B174" s="20" t="s">
        <v>247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35">
      <c r="A175" t="s">
        <v>254</v>
      </c>
      <c r="B175" s="20" t="s">
        <v>247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35">
      <c r="A176" t="s">
        <v>254</v>
      </c>
      <c r="B176" s="20" t="s">
        <v>247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35">
      <c r="A177" t="s">
        <v>254</v>
      </c>
      <c r="B177" s="20" t="s">
        <v>247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35">
      <c r="A178" t="s">
        <v>254</v>
      </c>
      <c r="B178" s="20" t="s">
        <v>247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35">
      <c r="A179" t="s">
        <v>254</v>
      </c>
      <c r="B179" s="20" t="s">
        <v>247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35">
      <c r="A180" t="s">
        <v>254</v>
      </c>
      <c r="B180" s="20" t="s">
        <v>247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35">
      <c r="A181" t="s">
        <v>254</v>
      </c>
      <c r="B181" s="20" t="s">
        <v>247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35">
      <c r="A182" t="s">
        <v>254</v>
      </c>
      <c r="B182" s="20" t="s">
        <v>247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35">
      <c r="A183" t="s">
        <v>254</v>
      </c>
      <c r="B183" s="20" t="s">
        <v>247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35">
      <c r="A184" t="s">
        <v>254</v>
      </c>
      <c r="B184" s="20" t="s">
        <v>247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35">
      <c r="A185" t="s">
        <v>254</v>
      </c>
      <c r="B185" s="20" t="s">
        <v>247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35">
      <c r="A186" t="s">
        <v>254</v>
      </c>
      <c r="B186" s="20" t="s">
        <v>247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35">
      <c r="A187" t="s">
        <v>254</v>
      </c>
      <c r="B187" s="20" t="s">
        <v>247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35">
      <c r="A188" t="s">
        <v>254</v>
      </c>
      <c r="B188" s="20" t="s">
        <v>247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35">
      <c r="A189" t="s">
        <v>254</v>
      </c>
      <c r="B189" s="20" t="s">
        <v>247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35">
      <c r="A190" t="s">
        <v>254</v>
      </c>
      <c r="B190" s="20" t="s">
        <v>247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35">
      <c r="A191" t="s">
        <v>254</v>
      </c>
      <c r="B191" s="20" t="s">
        <v>247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35">
      <c r="A192" t="s">
        <v>254</v>
      </c>
      <c r="B192" s="20" t="s">
        <v>247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35">
      <c r="A193" t="s">
        <v>254</v>
      </c>
      <c r="B193" s="20" t="s">
        <v>247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35">
      <c r="A194" t="s">
        <v>254</v>
      </c>
      <c r="B194" s="20" t="s">
        <v>247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35">
      <c r="A195" t="s">
        <v>254</v>
      </c>
      <c r="B195" s="20" t="s">
        <v>247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35">
      <c r="A196" t="s">
        <v>254</v>
      </c>
      <c r="B196" s="20" t="s">
        <v>247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35">
      <c r="A197" t="s">
        <v>254</v>
      </c>
      <c r="B197" s="20" t="s">
        <v>247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35">
      <c r="A198" t="s">
        <v>254</v>
      </c>
      <c r="B198" s="20" t="s">
        <v>247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35">
      <c r="A199" t="s">
        <v>254</v>
      </c>
      <c r="B199" s="20" t="s">
        <v>247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35">
      <c r="A200" t="s">
        <v>254</v>
      </c>
      <c r="B200" s="20" t="s">
        <v>247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35">
      <c r="A201" t="s">
        <v>254</v>
      </c>
      <c r="B201" s="20" t="s">
        <v>247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35">
      <c r="A202" t="s">
        <v>254</v>
      </c>
      <c r="B202" s="20" t="s">
        <v>247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35">
      <c r="A203" t="s">
        <v>254</v>
      </c>
      <c r="B203" s="20" t="s">
        <v>247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35">
      <c r="A204" t="s">
        <v>254</v>
      </c>
      <c r="B204" s="20" t="s">
        <v>247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35">
      <c r="A205" t="s">
        <v>254</v>
      </c>
      <c r="B205" s="20" t="s">
        <v>247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35">
      <c r="A206" s="36" t="s">
        <v>255</v>
      </c>
      <c r="B206" s="37" t="s">
        <v>248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35">
      <c r="A207" t="s">
        <v>255</v>
      </c>
      <c r="B207" s="20" t="s">
        <v>248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35">
      <c r="A208" t="s">
        <v>255</v>
      </c>
      <c r="B208" s="20" t="s">
        <v>248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35">
      <c r="A209" t="s">
        <v>255</v>
      </c>
      <c r="B209" s="20" t="s">
        <v>248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35">
      <c r="A210" t="s">
        <v>255</v>
      </c>
      <c r="B210" s="20" t="s">
        <v>248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35">
      <c r="A211" t="s">
        <v>255</v>
      </c>
      <c r="B211" s="20" t="s">
        <v>248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35">
      <c r="A212" t="s">
        <v>255</v>
      </c>
      <c r="B212" s="20" t="s">
        <v>248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35">
      <c r="A213" t="s">
        <v>255</v>
      </c>
      <c r="B213" s="20" t="s">
        <v>248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35">
      <c r="A214" t="s">
        <v>255</v>
      </c>
      <c r="B214" s="20" t="s">
        <v>248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35">
      <c r="A215" t="s">
        <v>255</v>
      </c>
      <c r="B215" s="20" t="s">
        <v>248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35">
      <c r="A216" t="s">
        <v>255</v>
      </c>
      <c r="B216" s="20" t="s">
        <v>248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35">
      <c r="A217" t="s">
        <v>255</v>
      </c>
      <c r="B217" s="20" t="s">
        <v>248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35">
      <c r="A218" t="s">
        <v>255</v>
      </c>
      <c r="B218" s="20" t="s">
        <v>248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35">
      <c r="A219" t="s">
        <v>255</v>
      </c>
      <c r="B219" s="20" t="s">
        <v>248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35">
      <c r="A220" t="s">
        <v>255</v>
      </c>
      <c r="B220" s="20" t="s">
        <v>248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35">
      <c r="A221" t="s">
        <v>255</v>
      </c>
      <c r="B221" s="20" t="s">
        <v>248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35">
      <c r="A222" t="s">
        <v>255</v>
      </c>
      <c r="B222" s="20" t="s">
        <v>248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35">
      <c r="A223" t="s">
        <v>255</v>
      </c>
      <c r="B223" s="20" t="s">
        <v>248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35">
      <c r="A224" t="s">
        <v>255</v>
      </c>
      <c r="B224" s="20" t="s">
        <v>248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35">
      <c r="A225" t="s">
        <v>255</v>
      </c>
      <c r="B225" s="20" t="s">
        <v>248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35">
      <c r="A226" t="s">
        <v>255</v>
      </c>
      <c r="B226" s="20" t="s">
        <v>248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35">
      <c r="A227" t="s">
        <v>255</v>
      </c>
      <c r="B227" s="20" t="s">
        <v>248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35">
      <c r="A228" t="s">
        <v>255</v>
      </c>
      <c r="B228" s="20" t="s">
        <v>248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35">
      <c r="A229" t="s">
        <v>255</v>
      </c>
      <c r="B229" s="20" t="s">
        <v>248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35">
      <c r="A230" t="s">
        <v>255</v>
      </c>
      <c r="B230" s="20" t="s">
        <v>248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35">
      <c r="A231" t="s">
        <v>255</v>
      </c>
      <c r="B231" s="20" t="s">
        <v>248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35">
      <c r="A232" t="s">
        <v>255</v>
      </c>
      <c r="B232" s="20" t="s">
        <v>248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35">
      <c r="A233" t="s">
        <v>255</v>
      </c>
      <c r="B233" s="20" t="s">
        <v>248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35">
      <c r="A234" t="s">
        <v>255</v>
      </c>
      <c r="B234" s="20" t="s">
        <v>248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35">
      <c r="A235" t="s">
        <v>255</v>
      </c>
      <c r="B235" s="20" t="s">
        <v>248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35">
      <c r="A236" t="s">
        <v>255</v>
      </c>
      <c r="B236" s="20" t="s">
        <v>248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35">
      <c r="A237" t="s">
        <v>255</v>
      </c>
      <c r="B237" s="20" t="s">
        <v>248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35">
      <c r="A238" t="s">
        <v>255</v>
      </c>
      <c r="B238" s="20" t="s">
        <v>248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35">
      <c r="A239" t="s">
        <v>255</v>
      </c>
      <c r="B239" s="20" t="s">
        <v>248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35">
      <c r="A240" t="s">
        <v>255</v>
      </c>
      <c r="B240" s="20" t="s">
        <v>248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35">
      <c r="A241" t="s">
        <v>255</v>
      </c>
      <c r="B241" s="20" t="s">
        <v>248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35">
      <c r="A242" t="s">
        <v>255</v>
      </c>
      <c r="B242" s="20" t="s">
        <v>248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35">
      <c r="A243" t="s">
        <v>255</v>
      </c>
      <c r="B243" s="20" t="s">
        <v>248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35">
      <c r="A244" t="s">
        <v>255</v>
      </c>
      <c r="B244" s="20" t="s">
        <v>248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35">
      <c r="A245" t="s">
        <v>255</v>
      </c>
      <c r="B245" s="20" t="s">
        <v>248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35">
      <c r="A246" t="s">
        <v>255</v>
      </c>
      <c r="B246" s="20" t="s">
        <v>248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35">
      <c r="A247" t="s">
        <v>255</v>
      </c>
      <c r="B247" s="20" t="s">
        <v>248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35">
      <c r="A248" t="s">
        <v>256</v>
      </c>
      <c r="B248" s="36" t="s">
        <v>238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35">
      <c r="A249" t="s">
        <v>256</v>
      </c>
      <c r="B249" t="s">
        <v>238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35">
      <c r="A250" t="s">
        <v>256</v>
      </c>
      <c r="B250" t="s">
        <v>238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35">
      <c r="A251" t="s">
        <v>256</v>
      </c>
      <c r="B251" t="s">
        <v>238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35">
      <c r="A252" t="s">
        <v>256</v>
      </c>
      <c r="B252" t="s">
        <v>238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35">
      <c r="A253" t="s">
        <v>256</v>
      </c>
      <c r="B253" t="s">
        <v>238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35">
      <c r="A254" t="s">
        <v>256</v>
      </c>
      <c r="B254" t="s">
        <v>238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35">
      <c r="A255" t="s">
        <v>256</v>
      </c>
      <c r="B255" t="s">
        <v>238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35">
      <c r="A256" t="s">
        <v>256</v>
      </c>
      <c r="B256" t="s">
        <v>238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35">
      <c r="A257" t="s">
        <v>256</v>
      </c>
      <c r="B257" t="s">
        <v>238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35">
      <c r="A258" t="s">
        <v>256</v>
      </c>
      <c r="B258" t="s">
        <v>238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35">
      <c r="A259" t="s">
        <v>256</v>
      </c>
      <c r="B259" t="s">
        <v>238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35">
      <c r="A260" t="s">
        <v>256</v>
      </c>
      <c r="B260" t="s">
        <v>238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35">
      <c r="A261" t="s">
        <v>256</v>
      </c>
      <c r="B261" t="s">
        <v>238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35">
      <c r="A262" t="s">
        <v>256</v>
      </c>
      <c r="B262" t="s">
        <v>238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35">
      <c r="A263" t="s">
        <v>256</v>
      </c>
      <c r="B263" t="s">
        <v>238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35">
      <c r="A264" t="s">
        <v>256</v>
      </c>
      <c r="B264" t="s">
        <v>238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35">
      <c r="A265" t="s">
        <v>256</v>
      </c>
      <c r="B265" t="s">
        <v>238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35">
      <c r="A266" t="s">
        <v>256</v>
      </c>
      <c r="B266" t="s">
        <v>238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35">
      <c r="A267" t="s">
        <v>256</v>
      </c>
      <c r="B267" t="s">
        <v>238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35">
      <c r="A268" t="s">
        <v>256</v>
      </c>
      <c r="B268" t="s">
        <v>238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35">
      <c r="A269" t="s">
        <v>256</v>
      </c>
      <c r="B269" t="s">
        <v>238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35">
      <c r="A270" t="s">
        <v>256</v>
      </c>
      <c r="B270" t="s">
        <v>238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35">
      <c r="A271" t="s">
        <v>256</v>
      </c>
      <c r="B271" t="s">
        <v>238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35">
      <c r="A272" t="s">
        <v>256</v>
      </c>
      <c r="B272" t="s">
        <v>238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35">
      <c r="A273" t="s">
        <v>256</v>
      </c>
      <c r="B273" t="s">
        <v>238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35">
      <c r="A274" t="s">
        <v>256</v>
      </c>
      <c r="B274" t="s">
        <v>238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35">
      <c r="A275" t="s">
        <v>256</v>
      </c>
      <c r="B275" t="s">
        <v>238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35">
      <c r="A276" t="s">
        <v>256</v>
      </c>
      <c r="B276" t="s">
        <v>238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35">
      <c r="A277" t="s">
        <v>256</v>
      </c>
      <c r="B277" t="s">
        <v>238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35">
      <c r="A278" t="s">
        <v>256</v>
      </c>
      <c r="B278" t="s">
        <v>238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35">
      <c r="A279" t="s">
        <v>256</v>
      </c>
      <c r="B279" t="s">
        <v>238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35">
      <c r="A280" t="s">
        <v>256</v>
      </c>
      <c r="B280" t="s">
        <v>238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35">
      <c r="A281" t="s">
        <v>256</v>
      </c>
      <c r="B281" t="s">
        <v>238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35">
      <c r="A282" t="s">
        <v>256</v>
      </c>
      <c r="B282" t="s">
        <v>238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35">
      <c r="A283" t="s">
        <v>256</v>
      </c>
      <c r="B283" t="s">
        <v>238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35">
      <c r="A284" t="s">
        <v>256</v>
      </c>
      <c r="B284" t="s">
        <v>238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35">
      <c r="A285" t="s">
        <v>256</v>
      </c>
      <c r="B285" t="s">
        <v>238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35">
      <c r="A286" t="s">
        <v>256</v>
      </c>
      <c r="B286" t="s">
        <v>238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35">
      <c r="A287" t="s">
        <v>256</v>
      </c>
      <c r="B287" t="s">
        <v>238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35">
      <c r="A288" t="s">
        <v>256</v>
      </c>
      <c r="B288" t="s">
        <v>238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35">
      <c r="A289" t="s">
        <v>256</v>
      </c>
      <c r="B289" t="s">
        <v>238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35">
      <c r="A290" t="s">
        <v>284</v>
      </c>
      <c r="B290" t="s">
        <v>259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35">
      <c r="A291" t="s">
        <v>284</v>
      </c>
      <c r="B291" t="s">
        <v>259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35">
      <c r="A292" t="s">
        <v>284</v>
      </c>
      <c r="B292" t="s">
        <v>259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35">
      <c r="A293" t="s">
        <v>284</v>
      </c>
      <c r="B293" t="s">
        <v>259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35">
      <c r="A294" t="s">
        <v>284</v>
      </c>
      <c r="B294" s="1" t="s">
        <v>259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35">
      <c r="A295" t="s">
        <v>284</v>
      </c>
      <c r="B295" s="1" t="s">
        <v>259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35">
      <c r="A296" t="s">
        <v>284</v>
      </c>
      <c r="B296" t="s">
        <v>259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35">
      <c r="A297" t="s">
        <v>284</v>
      </c>
      <c r="B297" t="s">
        <v>259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35">
      <c r="A298" t="s">
        <v>284</v>
      </c>
      <c r="B298" t="s">
        <v>259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35">
      <c r="A299" t="s">
        <v>284</v>
      </c>
      <c r="B299" s="1" t="s">
        <v>259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35">
      <c r="A300" t="s">
        <v>284</v>
      </c>
      <c r="B300" t="s">
        <v>259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35">
      <c r="A301" t="s">
        <v>284</v>
      </c>
      <c r="B301" t="s">
        <v>259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35">
      <c r="A302" t="s">
        <v>284</v>
      </c>
      <c r="B302" t="s">
        <v>259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35">
      <c r="A303" t="s">
        <v>284</v>
      </c>
      <c r="B303" t="s">
        <v>259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35">
      <c r="A304" t="s">
        <v>284</v>
      </c>
      <c r="B304" t="s">
        <v>259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35">
      <c r="A305" t="s">
        <v>284</v>
      </c>
      <c r="B305" t="s">
        <v>259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35">
      <c r="A306" t="s">
        <v>284</v>
      </c>
      <c r="B306" t="s">
        <v>259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35">
      <c r="A307" t="s">
        <v>284</v>
      </c>
      <c r="B307" t="s">
        <v>259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35">
      <c r="A308" t="s">
        <v>284</v>
      </c>
      <c r="B308" t="s">
        <v>259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35">
      <c r="A309" t="s">
        <v>284</v>
      </c>
      <c r="B309" t="s">
        <v>259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35">
      <c r="A310" t="s">
        <v>284</v>
      </c>
      <c r="B310" t="s">
        <v>259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35">
      <c r="A311" t="s">
        <v>284</v>
      </c>
      <c r="B311" t="s">
        <v>259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35">
      <c r="A312" t="s">
        <v>284</v>
      </c>
      <c r="B312" t="s">
        <v>259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35">
      <c r="A313" t="s">
        <v>284</v>
      </c>
      <c r="B313" t="s">
        <v>259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35">
      <c r="A314" t="s">
        <v>284</v>
      </c>
      <c r="B314" t="s">
        <v>259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35">
      <c r="A315" t="s">
        <v>284</v>
      </c>
      <c r="B315" t="s">
        <v>259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35">
      <c r="A316" t="s">
        <v>284</v>
      </c>
      <c r="B316" t="s">
        <v>259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35">
      <c r="A317" t="s">
        <v>284</v>
      </c>
      <c r="B317" t="s">
        <v>259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35">
      <c r="A318" t="s">
        <v>284</v>
      </c>
      <c r="B318" t="s">
        <v>259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35">
      <c r="A319" t="s">
        <v>284</v>
      </c>
      <c r="B319" t="s">
        <v>259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35">
      <c r="A320" t="s">
        <v>284</v>
      </c>
      <c r="B320" s="1" t="s">
        <v>259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35">
      <c r="A321" t="s">
        <v>284</v>
      </c>
      <c r="B321" s="1" t="s">
        <v>259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35">
      <c r="A322" t="s">
        <v>284</v>
      </c>
      <c r="B322" s="1" t="s">
        <v>259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35">
      <c r="A323" t="s">
        <v>284</v>
      </c>
      <c r="B323" t="s">
        <v>259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35">
      <c r="A324" t="s">
        <v>284</v>
      </c>
      <c r="B324" s="1" t="s">
        <v>259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35">
      <c r="A325" t="s">
        <v>284</v>
      </c>
      <c r="B325" s="1" t="s">
        <v>259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35">
      <c r="A326" t="s">
        <v>284</v>
      </c>
      <c r="B326" s="74" t="s">
        <v>259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35">
      <c r="A327" t="s">
        <v>284</v>
      </c>
      <c r="B327" t="s">
        <v>259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35">
      <c r="A328" t="s">
        <v>284</v>
      </c>
      <c r="B328" t="s">
        <v>259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35">
      <c r="A329" t="s">
        <v>284</v>
      </c>
      <c r="B329" t="s">
        <v>259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35">
      <c r="A330" t="s">
        <v>284</v>
      </c>
      <c r="B330" t="s">
        <v>259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35">
      <c r="A331" t="s">
        <v>284</v>
      </c>
      <c r="B331" t="s">
        <v>259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  <row r="332" spans="1:9" x14ac:dyDescent="0.35">
      <c r="A332" t="s">
        <v>314</v>
      </c>
      <c r="B332" t="s">
        <v>285</v>
      </c>
      <c r="C332" t="s">
        <v>21</v>
      </c>
      <c r="D332" t="s">
        <v>7</v>
      </c>
      <c r="E332" t="s">
        <v>24</v>
      </c>
      <c r="F332">
        <v>755.2</v>
      </c>
      <c r="G332">
        <v>1414.7722222222224</v>
      </c>
      <c r="H332">
        <v>463.16666666666669</v>
      </c>
      <c r="I332">
        <v>39.800000000000004</v>
      </c>
    </row>
    <row r="333" spans="1:9" x14ac:dyDescent="0.35">
      <c r="A333" t="s">
        <v>314</v>
      </c>
      <c r="B333" t="s">
        <v>285</v>
      </c>
      <c r="C333" t="s">
        <v>21</v>
      </c>
      <c r="D333" t="s">
        <v>7</v>
      </c>
      <c r="E333" t="s">
        <v>25</v>
      </c>
      <c r="F333">
        <v>389.7</v>
      </c>
      <c r="G333">
        <v>1824.1722222222222</v>
      </c>
    </row>
    <row r="334" spans="1:9" x14ac:dyDescent="0.35">
      <c r="A334" t="s">
        <v>314</v>
      </c>
      <c r="B334" t="s">
        <v>285</v>
      </c>
      <c r="C334" t="s">
        <v>21</v>
      </c>
      <c r="D334" t="s">
        <v>7</v>
      </c>
      <c r="E334" t="s">
        <v>26</v>
      </c>
      <c r="F334">
        <v>364</v>
      </c>
      <c r="G334">
        <v>637.59999999999991</v>
      </c>
    </row>
    <row r="335" spans="1:9" x14ac:dyDescent="0.35">
      <c r="A335" t="s">
        <v>314</v>
      </c>
      <c r="B335" t="s">
        <v>285</v>
      </c>
      <c r="C335" t="s">
        <v>21</v>
      </c>
      <c r="D335" t="s">
        <v>8</v>
      </c>
      <c r="E335" t="s">
        <v>24</v>
      </c>
      <c r="F335">
        <v>2062.1999999999998</v>
      </c>
      <c r="G335">
        <v>2292.0722222222225</v>
      </c>
      <c r="H335">
        <v>2995.5</v>
      </c>
      <c r="I335">
        <v>184.43333333333331</v>
      </c>
    </row>
    <row r="336" spans="1:9" x14ac:dyDescent="0.35">
      <c r="A336" t="s">
        <v>315</v>
      </c>
      <c r="B336" t="s">
        <v>285</v>
      </c>
      <c r="C336" s="1" t="s">
        <v>21</v>
      </c>
      <c r="D336" s="1" t="s">
        <v>8</v>
      </c>
      <c r="E336" s="1" t="s">
        <v>25</v>
      </c>
      <c r="F336">
        <v>3933.7999999999997</v>
      </c>
      <c r="G336">
        <v>1698.4277777777779</v>
      </c>
      <c r="H336" s="1"/>
    </row>
    <row r="337" spans="1:9" x14ac:dyDescent="0.35">
      <c r="A337" t="s">
        <v>315</v>
      </c>
      <c r="B337" t="s">
        <v>285</v>
      </c>
      <c r="C337" s="1" t="s">
        <v>21</v>
      </c>
      <c r="D337" s="1" t="s">
        <v>8</v>
      </c>
      <c r="E337" s="1" t="s">
        <v>26</v>
      </c>
      <c r="F337">
        <v>3543.8</v>
      </c>
      <c r="G337">
        <v>2108.7222222222222</v>
      </c>
      <c r="H337" s="1"/>
    </row>
    <row r="338" spans="1:9" x14ac:dyDescent="0.35">
      <c r="A338" t="s">
        <v>315</v>
      </c>
      <c r="B338" t="s">
        <v>285</v>
      </c>
      <c r="C338" t="s">
        <v>21</v>
      </c>
      <c r="D338" t="s">
        <v>9</v>
      </c>
      <c r="E338" t="s">
        <v>24</v>
      </c>
      <c r="F338">
        <v>303.8</v>
      </c>
      <c r="G338">
        <v>922.08333333333337</v>
      </c>
      <c r="H338">
        <v>264.05</v>
      </c>
      <c r="I338">
        <v>10.75</v>
      </c>
    </row>
    <row r="339" spans="1:9" x14ac:dyDescent="0.35">
      <c r="A339" t="s">
        <v>315</v>
      </c>
      <c r="B339" t="s">
        <v>285</v>
      </c>
      <c r="C339" t="s">
        <v>21</v>
      </c>
      <c r="D339" t="s">
        <v>9</v>
      </c>
      <c r="E339" t="s">
        <v>25</v>
      </c>
      <c r="F339">
        <v>245.8</v>
      </c>
      <c r="G339">
        <v>286.85555555555561</v>
      </c>
    </row>
    <row r="340" spans="1:9" x14ac:dyDescent="0.35">
      <c r="A340" t="s">
        <v>315</v>
      </c>
      <c r="B340" t="s">
        <v>285</v>
      </c>
      <c r="C340" t="s">
        <v>21</v>
      </c>
      <c r="D340" t="s">
        <v>9</v>
      </c>
      <c r="E340" t="s">
        <v>26</v>
      </c>
      <c r="F340">
        <v>0</v>
      </c>
      <c r="G340">
        <v>335.63333333333333</v>
      </c>
    </row>
    <row r="341" spans="1:9" x14ac:dyDescent="0.35">
      <c r="A341" t="s">
        <v>315</v>
      </c>
      <c r="B341" t="s">
        <v>285</v>
      </c>
      <c r="C341" s="1" t="s">
        <v>21</v>
      </c>
      <c r="D341" s="1" t="s">
        <v>10</v>
      </c>
      <c r="E341" s="1" t="s">
        <v>24</v>
      </c>
      <c r="F341">
        <v>3893</v>
      </c>
      <c r="G341">
        <v>3597.2111111111112</v>
      </c>
      <c r="H341" s="1">
        <v>1853.3333333333333</v>
      </c>
      <c r="I341">
        <v>73.7</v>
      </c>
    </row>
    <row r="342" spans="1:9" x14ac:dyDescent="0.35">
      <c r="A342" t="s">
        <v>315</v>
      </c>
      <c r="B342" t="s">
        <v>285</v>
      </c>
      <c r="C342" t="s">
        <v>21</v>
      </c>
      <c r="D342" t="s">
        <v>10</v>
      </c>
      <c r="E342" t="s">
        <v>25</v>
      </c>
      <c r="F342">
        <v>1505.5</v>
      </c>
      <c r="G342">
        <v>521.66666666666663</v>
      </c>
    </row>
    <row r="343" spans="1:9" x14ac:dyDescent="0.35">
      <c r="A343" t="s">
        <v>315</v>
      </c>
      <c r="B343" t="s">
        <v>285</v>
      </c>
      <c r="C343" t="s">
        <v>21</v>
      </c>
      <c r="D343" t="s">
        <v>10</v>
      </c>
      <c r="E343" t="s">
        <v>26</v>
      </c>
      <c r="F343">
        <v>382.59999999999997</v>
      </c>
      <c r="G343">
        <v>827.14444444444462</v>
      </c>
    </row>
    <row r="344" spans="1:9" x14ac:dyDescent="0.35">
      <c r="A344" t="s">
        <v>315</v>
      </c>
      <c r="B344" t="s">
        <v>285</v>
      </c>
      <c r="C344" t="s">
        <v>21</v>
      </c>
      <c r="D344" t="s">
        <v>11</v>
      </c>
      <c r="E344" t="s">
        <v>24</v>
      </c>
      <c r="F344">
        <v>975.4</v>
      </c>
      <c r="G344">
        <v>1083.3777777777777</v>
      </c>
      <c r="H344">
        <v>815.66666666666663</v>
      </c>
      <c r="I344">
        <v>93</v>
      </c>
    </row>
    <row r="345" spans="1:9" x14ac:dyDescent="0.35">
      <c r="A345" t="s">
        <v>315</v>
      </c>
      <c r="B345" t="s">
        <v>285</v>
      </c>
      <c r="C345" t="s">
        <v>21</v>
      </c>
      <c r="D345" t="s">
        <v>11</v>
      </c>
      <c r="E345" t="s">
        <v>25</v>
      </c>
      <c r="F345">
        <v>628.5</v>
      </c>
      <c r="G345">
        <v>407.51666666666665</v>
      </c>
    </row>
    <row r="346" spans="1:9" x14ac:dyDescent="0.35">
      <c r="A346" t="s">
        <v>315</v>
      </c>
      <c r="B346" t="s">
        <v>285</v>
      </c>
      <c r="C346" t="s">
        <v>21</v>
      </c>
      <c r="D346" t="s">
        <v>11</v>
      </c>
      <c r="E346" t="s">
        <v>26</v>
      </c>
      <c r="F346">
        <v>1122.0999999999999</v>
      </c>
      <c r="G346">
        <v>1084.288888888889</v>
      </c>
    </row>
    <row r="347" spans="1:9" x14ac:dyDescent="0.35">
      <c r="A347" t="s">
        <v>315</v>
      </c>
      <c r="B347" t="s">
        <v>285</v>
      </c>
      <c r="C347" t="s">
        <v>21</v>
      </c>
      <c r="D347" t="s">
        <v>12</v>
      </c>
      <c r="E347" t="s">
        <v>24</v>
      </c>
      <c r="F347">
        <v>930.1</v>
      </c>
      <c r="G347">
        <v>1808.5222222222221</v>
      </c>
      <c r="H347">
        <v>356.93333333333339</v>
      </c>
      <c r="I347">
        <v>53.766666666666673</v>
      </c>
    </row>
    <row r="348" spans="1:9" x14ac:dyDescent="0.35">
      <c r="A348" t="s">
        <v>315</v>
      </c>
      <c r="B348" t="s">
        <v>285</v>
      </c>
      <c r="C348" t="s">
        <v>21</v>
      </c>
      <c r="D348" t="s">
        <v>12</v>
      </c>
      <c r="E348" t="s">
        <v>25</v>
      </c>
      <c r="F348">
        <v>74.3</v>
      </c>
      <c r="G348">
        <v>641.75555555555559</v>
      </c>
    </row>
    <row r="349" spans="1:9" x14ac:dyDescent="0.35">
      <c r="A349" t="s">
        <v>315</v>
      </c>
      <c r="B349" t="s">
        <v>285</v>
      </c>
      <c r="C349" t="s">
        <v>21</v>
      </c>
      <c r="D349" t="s">
        <v>12</v>
      </c>
      <c r="E349" t="s">
        <v>26</v>
      </c>
      <c r="F349">
        <v>227.7</v>
      </c>
      <c r="G349">
        <v>583.86666666666656</v>
      </c>
    </row>
    <row r="350" spans="1:9" x14ac:dyDescent="0.35">
      <c r="A350" t="s">
        <v>315</v>
      </c>
      <c r="B350" t="s">
        <v>285</v>
      </c>
      <c r="C350" t="s">
        <v>21</v>
      </c>
      <c r="D350" t="s">
        <v>219</v>
      </c>
      <c r="E350" t="s">
        <v>24</v>
      </c>
      <c r="F350">
        <v>102.2</v>
      </c>
      <c r="G350">
        <v>2836.8444444444449</v>
      </c>
      <c r="H350">
        <v>82.63333333333334</v>
      </c>
      <c r="I350">
        <v>20.933333333333334</v>
      </c>
    </row>
    <row r="351" spans="1:9" x14ac:dyDescent="0.35">
      <c r="A351" t="s">
        <v>315</v>
      </c>
      <c r="B351" t="s">
        <v>285</v>
      </c>
      <c r="C351" t="s">
        <v>21</v>
      </c>
      <c r="D351" t="s">
        <v>219</v>
      </c>
      <c r="E351" t="s">
        <v>25</v>
      </c>
      <c r="F351">
        <v>71.599999999999994</v>
      </c>
      <c r="G351">
        <v>967.93333333333351</v>
      </c>
    </row>
    <row r="352" spans="1:9" x14ac:dyDescent="0.35">
      <c r="A352" t="s">
        <v>315</v>
      </c>
      <c r="B352" t="s">
        <v>285</v>
      </c>
      <c r="C352" t="s">
        <v>21</v>
      </c>
      <c r="D352" t="s">
        <v>219</v>
      </c>
      <c r="E352" t="s">
        <v>26</v>
      </c>
      <c r="F352">
        <v>136.9</v>
      </c>
      <c r="G352">
        <v>2628.4666666666667</v>
      </c>
    </row>
    <row r="353" spans="1:9" x14ac:dyDescent="0.35">
      <c r="A353" t="s">
        <v>315</v>
      </c>
      <c r="B353" t="s">
        <v>285</v>
      </c>
      <c r="C353" t="s">
        <v>22</v>
      </c>
      <c r="D353" t="s">
        <v>13</v>
      </c>
      <c r="E353" t="s">
        <v>24</v>
      </c>
      <c r="F353">
        <v>1235</v>
      </c>
      <c r="G353">
        <v>4342.1888888888898</v>
      </c>
      <c r="H353">
        <v>1323.5666666666666</v>
      </c>
      <c r="I353">
        <v>107.63333333333333</v>
      </c>
    </row>
    <row r="354" spans="1:9" x14ac:dyDescent="0.35">
      <c r="A354" t="s">
        <v>315</v>
      </c>
      <c r="B354" t="s">
        <v>285</v>
      </c>
      <c r="C354" t="s">
        <v>22</v>
      </c>
      <c r="D354" t="s">
        <v>13</v>
      </c>
      <c r="E354" t="s">
        <v>25</v>
      </c>
      <c r="F354">
        <v>498.6</v>
      </c>
      <c r="G354">
        <v>475.94444444444446</v>
      </c>
    </row>
    <row r="355" spans="1:9" x14ac:dyDescent="0.35">
      <c r="A355" t="s">
        <v>315</v>
      </c>
      <c r="B355" t="s">
        <v>285</v>
      </c>
      <c r="C355" t="s">
        <v>22</v>
      </c>
      <c r="D355" t="s">
        <v>13</v>
      </c>
      <c r="E355" t="s">
        <v>26</v>
      </c>
      <c r="F355">
        <v>2560</v>
      </c>
      <c r="G355">
        <v>1333.6333333333334</v>
      </c>
    </row>
    <row r="356" spans="1:9" x14ac:dyDescent="0.35">
      <c r="A356" t="s">
        <v>315</v>
      </c>
      <c r="B356" t="s">
        <v>285</v>
      </c>
      <c r="C356" t="s">
        <v>22</v>
      </c>
      <c r="D356" t="s">
        <v>14</v>
      </c>
      <c r="E356" t="s">
        <v>24</v>
      </c>
      <c r="F356">
        <v>1643.3000000000002</v>
      </c>
      <c r="G356">
        <v>5003.1000000000004</v>
      </c>
      <c r="H356">
        <v>1402.1333333333332</v>
      </c>
      <c r="I356">
        <v>112.36666666666667</v>
      </c>
    </row>
    <row r="357" spans="1:9" x14ac:dyDescent="0.35">
      <c r="A357" t="s">
        <v>315</v>
      </c>
      <c r="B357" t="s">
        <v>285</v>
      </c>
      <c r="C357" t="s">
        <v>22</v>
      </c>
      <c r="D357" t="s">
        <v>14</v>
      </c>
      <c r="E357" t="s">
        <v>25</v>
      </c>
      <c r="F357">
        <v>1767.1</v>
      </c>
      <c r="G357">
        <v>2144.9166666666665</v>
      </c>
    </row>
    <row r="358" spans="1:9" x14ac:dyDescent="0.35">
      <c r="A358" t="s">
        <v>315</v>
      </c>
      <c r="B358" t="s">
        <v>285</v>
      </c>
      <c r="C358" t="s">
        <v>22</v>
      </c>
      <c r="D358" t="s">
        <v>14</v>
      </c>
      <c r="E358" t="s">
        <v>26</v>
      </c>
      <c r="F358">
        <v>1133.0999999999999</v>
      </c>
      <c r="G358">
        <v>1801.4555555555555</v>
      </c>
    </row>
    <row r="359" spans="1:9" x14ac:dyDescent="0.35">
      <c r="A359" t="s">
        <v>315</v>
      </c>
      <c r="B359" t="s">
        <v>285</v>
      </c>
      <c r="C359" t="s">
        <v>22</v>
      </c>
      <c r="D359" t="s">
        <v>15</v>
      </c>
      <c r="E359" t="s">
        <v>24</v>
      </c>
      <c r="F359">
        <v>2275.8000000000002</v>
      </c>
      <c r="G359">
        <v>24912.866666666665</v>
      </c>
      <c r="H359">
        <v>1213.6000000000001</v>
      </c>
      <c r="I359">
        <v>559.23333333333335</v>
      </c>
    </row>
    <row r="360" spans="1:9" x14ac:dyDescent="0.35">
      <c r="A360" t="s">
        <v>315</v>
      </c>
      <c r="B360" t="s">
        <v>285</v>
      </c>
      <c r="C360" t="s">
        <v>22</v>
      </c>
      <c r="D360" t="s">
        <v>15</v>
      </c>
      <c r="E360" t="s">
        <v>25</v>
      </c>
      <c r="F360">
        <v>1638.5</v>
      </c>
      <c r="G360">
        <v>10112.5</v>
      </c>
    </row>
    <row r="361" spans="1:9" x14ac:dyDescent="0.35">
      <c r="A361" t="s">
        <v>315</v>
      </c>
      <c r="B361" t="s">
        <v>285</v>
      </c>
      <c r="C361" t="s">
        <v>22</v>
      </c>
      <c r="D361" t="s">
        <v>15</v>
      </c>
      <c r="E361" t="s">
        <v>26</v>
      </c>
      <c r="F361">
        <v>1404.2</v>
      </c>
      <c r="G361">
        <v>3425.3999999999996</v>
      </c>
    </row>
    <row r="362" spans="1:9" x14ac:dyDescent="0.35">
      <c r="A362" t="s">
        <v>315</v>
      </c>
      <c r="B362" t="s">
        <v>285</v>
      </c>
      <c r="C362" s="1" t="s">
        <v>22</v>
      </c>
      <c r="D362" s="1" t="s">
        <v>16</v>
      </c>
      <c r="E362" s="1" t="s">
        <v>24</v>
      </c>
      <c r="F362">
        <v>20099.199999999997</v>
      </c>
      <c r="G362">
        <v>9426.4666666666672</v>
      </c>
      <c r="H362" s="1">
        <v>9456.8333333333339</v>
      </c>
      <c r="I362">
        <v>523.36666666666667</v>
      </c>
    </row>
    <row r="363" spans="1:9" x14ac:dyDescent="0.35">
      <c r="A363" t="s">
        <v>315</v>
      </c>
      <c r="B363" t="s">
        <v>285</v>
      </c>
      <c r="C363" s="1" t="s">
        <v>22</v>
      </c>
      <c r="D363" s="1" t="s">
        <v>16</v>
      </c>
      <c r="E363" s="1" t="s">
        <v>25</v>
      </c>
      <c r="F363">
        <v>6558.7</v>
      </c>
      <c r="G363">
        <v>4465.6888888888889</v>
      </c>
      <c r="H363" s="1"/>
    </row>
    <row r="364" spans="1:9" x14ac:dyDescent="0.35">
      <c r="A364" t="s">
        <v>315</v>
      </c>
      <c r="B364" t="s">
        <v>285</v>
      </c>
      <c r="C364" s="1" t="s">
        <v>22</v>
      </c>
      <c r="D364" s="1" t="s">
        <v>16</v>
      </c>
      <c r="E364" s="1" t="s">
        <v>26</v>
      </c>
      <c r="F364">
        <v>3282.7</v>
      </c>
      <c r="G364">
        <v>3412.1000000000004</v>
      </c>
      <c r="H364" s="1"/>
    </row>
    <row r="365" spans="1:9" x14ac:dyDescent="0.35">
      <c r="A365" t="s">
        <v>315</v>
      </c>
      <c r="B365" t="s">
        <v>285</v>
      </c>
      <c r="C365" t="s">
        <v>23</v>
      </c>
      <c r="D365" t="s">
        <v>18</v>
      </c>
      <c r="E365" t="s">
        <v>24</v>
      </c>
      <c r="F365">
        <v>2375.1</v>
      </c>
      <c r="G365">
        <v>2846.5555555555557</v>
      </c>
      <c r="H365">
        <v>2411.7000000000003</v>
      </c>
      <c r="I365">
        <v>447.06666666666661</v>
      </c>
    </row>
    <row r="366" spans="1:9" x14ac:dyDescent="0.35">
      <c r="A366" t="s">
        <v>315</v>
      </c>
      <c r="B366" t="s">
        <v>285</v>
      </c>
      <c r="C366" s="1" t="s">
        <v>23</v>
      </c>
      <c r="D366" s="1" t="s">
        <v>18</v>
      </c>
      <c r="E366" s="1" t="s">
        <v>25</v>
      </c>
      <c r="F366">
        <v>4590.3</v>
      </c>
      <c r="G366">
        <v>6074.477777777779</v>
      </c>
      <c r="H366" s="1"/>
    </row>
    <row r="367" spans="1:9" x14ac:dyDescent="0.35">
      <c r="A367" t="s">
        <v>315</v>
      </c>
      <c r="B367" t="s">
        <v>285</v>
      </c>
      <c r="C367" s="1" t="s">
        <v>23</v>
      </c>
      <c r="D367" s="1" t="s">
        <v>18</v>
      </c>
      <c r="E367" s="1" t="s">
        <v>26</v>
      </c>
      <c r="F367">
        <v>1610.9</v>
      </c>
      <c r="G367">
        <v>1936.4333333333334</v>
      </c>
      <c r="H367" s="1"/>
    </row>
    <row r="368" spans="1:9" x14ac:dyDescent="0.35">
      <c r="A368" t="s">
        <v>315</v>
      </c>
      <c r="B368" t="s">
        <v>285</v>
      </c>
      <c r="C368" s="74" t="s">
        <v>23</v>
      </c>
      <c r="D368" s="74" t="s">
        <v>19</v>
      </c>
      <c r="E368" s="74" t="s">
        <v>24</v>
      </c>
      <c r="F368">
        <v>7010.4000000000005</v>
      </c>
      <c r="G368">
        <v>5338.3555555555558</v>
      </c>
      <c r="H368" s="74">
        <v>4843.2666666666664</v>
      </c>
      <c r="I368">
        <v>284.90000000000003</v>
      </c>
    </row>
    <row r="369" spans="1:9" x14ac:dyDescent="0.35">
      <c r="A369" t="s">
        <v>315</v>
      </c>
      <c r="B369" t="s">
        <v>285</v>
      </c>
      <c r="C369" t="s">
        <v>23</v>
      </c>
      <c r="D369" t="s">
        <v>19</v>
      </c>
      <c r="E369" t="s">
        <v>25</v>
      </c>
      <c r="F369">
        <v>3349.5</v>
      </c>
      <c r="G369">
        <v>8774.9666666666672</v>
      </c>
      <c r="H369" s="1"/>
    </row>
    <row r="370" spans="1:9" x14ac:dyDescent="0.35">
      <c r="A370" t="s">
        <v>315</v>
      </c>
      <c r="B370" t="s">
        <v>285</v>
      </c>
      <c r="C370" t="s">
        <v>23</v>
      </c>
      <c r="D370" t="s">
        <v>19</v>
      </c>
      <c r="E370" t="s">
        <v>26</v>
      </c>
      <c r="F370">
        <v>5024.5999999999995</v>
      </c>
      <c r="G370">
        <v>2951.8444444444449</v>
      </c>
      <c r="H370" s="1"/>
    </row>
    <row r="371" spans="1:9" x14ac:dyDescent="0.35">
      <c r="A371" t="s">
        <v>315</v>
      </c>
      <c r="B371" t="s">
        <v>285</v>
      </c>
      <c r="C371" t="s">
        <v>217</v>
      </c>
      <c r="D371" t="s">
        <v>218</v>
      </c>
      <c r="E371" t="s">
        <v>24</v>
      </c>
      <c r="F371">
        <v>1119.1000000000001</v>
      </c>
      <c r="G371">
        <v>2298.6999999999998</v>
      </c>
      <c r="H371">
        <v>630</v>
      </c>
      <c r="I371">
        <v>63.166666666666664</v>
      </c>
    </row>
    <row r="372" spans="1:9" x14ac:dyDescent="0.35">
      <c r="A372" t="s">
        <v>315</v>
      </c>
      <c r="B372" t="s">
        <v>285</v>
      </c>
      <c r="C372" t="s">
        <v>217</v>
      </c>
      <c r="D372" t="s">
        <v>218</v>
      </c>
      <c r="E372" t="s">
        <v>25</v>
      </c>
      <c r="F372">
        <v>167</v>
      </c>
      <c r="G372">
        <v>2428.5444444444443</v>
      </c>
    </row>
    <row r="373" spans="1:9" x14ac:dyDescent="0.35">
      <c r="A373" t="s">
        <v>315</v>
      </c>
      <c r="B373" t="s">
        <v>285</v>
      </c>
      <c r="C373" t="s">
        <v>217</v>
      </c>
      <c r="D373" t="s">
        <v>218</v>
      </c>
      <c r="E373" t="s">
        <v>26</v>
      </c>
      <c r="F373">
        <v>793.4</v>
      </c>
      <c r="G373">
        <v>1570.8555555555554</v>
      </c>
    </row>
  </sheetData>
  <autoFilter ref="B1:I373" xr:uid="{3F6FA629-4877-42B1-A680-1262F55C3057}"/>
  <phoneticPr fontId="4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Semana 9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2025-11-12T14:00:22Z</dcterms:modified>
</cp:coreProperties>
</file>